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onet.sharepoint.com/sites/UCOLab/Shared Documents/CatalogoMensajes/1. Artefactos proyecto/1.1. Artefactos estratégicos/1.1.4. Modelo de dominio/1.1.3.1. Modelo de dominio anémico/1.1.3.1.1 Big Picture/"/>
    </mc:Choice>
  </mc:AlternateContent>
  <xr:revisionPtr revIDLastSave="6556" documentId="8_{562F9E86-03AD-479F-AD2D-46224A522840}" xr6:coauthVersionLast="47" xr6:coauthVersionMax="47" xr10:uidLastSave="{075F6187-9857-448E-A1C6-280FE76E7613}"/>
  <bookViews>
    <workbookView xWindow="-120" yWindow="-120" windowWidth="20730" windowHeight="11160" firstSheet="1" activeTab="16" xr2:uid="{0E8628F4-6007-48D8-AFA7-41E457BC7CD2}"/>
  </bookViews>
  <sheets>
    <sheet name="Modelo de dominio" sheetId="18" r:id="rId1"/>
    <sheet name="Objetos de Dominio" sheetId="16" r:id="rId2"/>
    <sheet name="Estudiante" sheetId="17" r:id="rId3"/>
    <sheet name="Entrenador" sheetId="19" r:id="rId4"/>
    <sheet name="Administrador" sheetId="29" r:id="rId5"/>
    <sheet name="Estudiante Programa" sheetId="31" r:id="rId6"/>
    <sheet name="Entrenador Facultad" sheetId="33" r:id="rId7"/>
    <sheet name="Entrenador Entrenamiento" sheetId="34" r:id="rId8"/>
    <sheet name="Entrenamiento Cognitivo" sheetId="21" r:id="rId9"/>
    <sheet name="Asignación Variable Coginitiva" sheetId="30" r:id="rId10"/>
    <sheet name="Sesion Entrenamiento" sheetId="32" r:id="rId11"/>
    <sheet name="Variable Cognitiva" sheetId="25" r:id="rId12"/>
    <sheet name="Tipo Documento" sheetId="28" r:id="rId13"/>
    <sheet name="Programa" sheetId="23" r:id="rId14"/>
    <sheet name="Facultad" sheetId="24" r:id="rId15"/>
    <sheet name="Estado" sheetId="26" r:id="rId16"/>
    <sheet name="Genero" sheetId="2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2" l="1"/>
  <c r="H5" i="32"/>
  <c r="H3" i="32"/>
  <c r="B4" i="32"/>
  <c r="B3" i="32"/>
  <c r="B5" i="32"/>
  <c r="G5" i="32"/>
  <c r="I4" i="17"/>
  <c r="I5" i="17"/>
  <c r="I3" i="17"/>
  <c r="B4" i="34"/>
  <c r="B5" i="34"/>
  <c r="B3" i="34"/>
  <c r="C4" i="33"/>
  <c r="C5" i="33"/>
  <c r="C3" i="33"/>
  <c r="D9" i="26"/>
  <c r="H4" i="17"/>
  <c r="F4" i="25"/>
  <c r="F5" i="25"/>
  <c r="F6" i="25"/>
  <c r="F3" i="25"/>
  <c r="H5" i="17"/>
  <c r="I4" i="19"/>
  <c r="I5" i="19"/>
  <c r="K4" i="19"/>
  <c r="K5" i="19"/>
  <c r="I3" i="19"/>
  <c r="K3" i="19" s="1"/>
  <c r="H3" i="17"/>
  <c r="K4" i="17"/>
  <c r="K5" i="17"/>
  <c r="K3" i="17"/>
  <c r="F4" i="30"/>
  <c r="C4" i="30"/>
  <c r="C3" i="30"/>
  <c r="J5" i="17"/>
  <c r="B5" i="21" s="1"/>
  <c r="F5" i="21" s="1"/>
  <c r="C5" i="34" s="1"/>
  <c r="D5" i="34" s="1"/>
  <c r="E3" i="21"/>
  <c r="E4" i="21"/>
  <c r="E5" i="21"/>
  <c r="F5" i="30"/>
  <c r="F3" i="30"/>
  <c r="D4" i="17"/>
  <c r="J4" i="17" s="1"/>
  <c r="B4" i="21" s="1"/>
  <c r="F4" i="21" s="1"/>
  <c r="C4" i="34" s="1"/>
  <c r="D4" i="34" s="1"/>
  <c r="D3" i="17"/>
  <c r="J3" i="17" s="1"/>
  <c r="B3" i="21" s="1"/>
  <c r="F3" i="21" s="1"/>
  <c r="C3" i="34" s="1"/>
  <c r="D3" i="34" s="1"/>
  <c r="E4" i="23"/>
  <c r="E5" i="23"/>
  <c r="E3" i="23"/>
  <c r="C5" i="30"/>
  <c r="D4" i="29"/>
  <c r="D3" i="29"/>
  <c r="D5" i="23"/>
  <c r="D4" i="23"/>
  <c r="D3" i="23"/>
  <c r="F5" i="23"/>
  <c r="C5" i="31"/>
  <c r="F4" i="23"/>
  <c r="C4" i="31"/>
  <c r="F3" i="23"/>
  <c r="C3" i="31"/>
  <c r="F5" i="17"/>
  <c r="F4" i="17"/>
  <c r="F3" i="17"/>
  <c r="D5" i="25"/>
  <c r="D6" i="25"/>
  <c r="D4" i="25"/>
  <c r="D3" i="25"/>
  <c r="H4" i="29"/>
  <c r="H3" i="29"/>
  <c r="F5" i="19"/>
  <c r="F4" i="19"/>
  <c r="F3" i="19"/>
  <c r="D4" i="19"/>
  <c r="D5" i="19"/>
  <c r="D3" i="19"/>
  <c r="E4" i="28"/>
  <c r="E5" i="28"/>
  <c r="E3" i="28"/>
  <c r="D4" i="28"/>
  <c r="D5" i="28"/>
  <c r="D3" i="28"/>
  <c r="G3" i="32"/>
  <c r="G4" i="32"/>
  <c r="C4" i="27"/>
  <c r="C5" i="27"/>
  <c r="C3" i="27"/>
  <c r="C4" i="24"/>
  <c r="C5" i="24"/>
  <c r="C3" i="24"/>
  <c r="E4" i="25"/>
  <c r="E5" i="25"/>
  <c r="E6" i="25"/>
  <c r="E3" i="25"/>
  <c r="B5" i="31"/>
  <c r="D5" i="31" s="1"/>
  <c r="I4" i="29"/>
  <c r="I3" i="29"/>
  <c r="E9" i="26"/>
  <c r="E8" i="26"/>
  <c r="D8" i="26"/>
  <c r="E7" i="26"/>
  <c r="D7" i="26"/>
  <c r="E6" i="26"/>
  <c r="D6" i="26"/>
  <c r="E5" i="26"/>
  <c r="D5" i="26"/>
  <c r="E4" i="26"/>
  <c r="D4" i="26"/>
  <c r="E3" i="26"/>
  <c r="D3" i="26"/>
  <c r="J4" i="19"/>
  <c r="B4" i="33" s="1"/>
  <c r="D4" i="33" s="1"/>
  <c r="J5" i="19"/>
  <c r="B5" i="33" s="1"/>
  <c r="D5" i="33" s="1"/>
  <c r="J3" i="19"/>
  <c r="B3" i="33" s="1"/>
  <c r="D3" i="33" s="1"/>
  <c r="B4" i="31"/>
  <c r="D4" i="31" s="1"/>
  <c r="B3" i="31"/>
  <c r="D3" i="31" s="1"/>
  <c r="B4" i="30" l="1"/>
  <c r="G4" i="30" s="1"/>
  <c r="B5" i="30"/>
  <c r="G5" i="30" s="1"/>
  <c r="B3" i="30"/>
  <c r="G3" i="30" s="1"/>
</calcChain>
</file>

<file path=xl/sharedStrings.xml><?xml version="1.0" encoding="utf-8"?>
<sst xmlns="http://schemas.openxmlformats.org/spreadsheetml/2006/main" count="273" uniqueCount="151">
  <si>
    <t>Nombre</t>
  </si>
  <si>
    <t>Datos de muestro</t>
  </si>
  <si>
    <t>Descripción</t>
  </si>
  <si>
    <t>Estudiante</t>
  </si>
  <si>
    <t>Enlace</t>
  </si>
  <si>
    <t>Objeto de dominio correspondiente a los estudiantes registrados en la aplicación Cognicare</t>
  </si>
  <si>
    <t>Entrenador</t>
  </si>
  <si>
    <t>Objeto de dominio correspondiente a los entrenadores de la aplicación Cognicare</t>
  </si>
  <si>
    <t>Administrador</t>
  </si>
  <si>
    <t>Objeto de dominio correspondiente a los administrador de la aplicación Cognicare</t>
  </si>
  <si>
    <t>Estudiante Programa</t>
  </si>
  <si>
    <t>Objeto de dominio que contiene a los estudiantes por programa</t>
  </si>
  <si>
    <t>Entrenador Facultad</t>
  </si>
  <si>
    <t>Objeto de dominio que contiene a los entrenadores por facultad</t>
  </si>
  <si>
    <t>Entrenador Entrenamiento</t>
  </si>
  <si>
    <t>Objeto de dominio que corresponde a la tabla intermedia de la relación de muchos a muchos entre entrenador y entrenamiento cognitivo</t>
  </si>
  <si>
    <t>Entrenamiento Cognitivo</t>
  </si>
  <si>
    <t>Objeto de dominio encargado de contener el plan de entrenamiento que desarrolla el estudiante</t>
  </si>
  <si>
    <t>Sesión Entrenamiento</t>
  </si>
  <si>
    <t>Objeto de dominio que contiene las sesiones de entrenamiento creadas</t>
  </si>
  <si>
    <t>Asignación Variable Cognitiva</t>
  </si>
  <si>
    <t>Objeto de dominio el cual representa cuales serán las variables  que tendrá que realizar el estudiante</t>
  </si>
  <si>
    <t>Variable Cognitiva</t>
  </si>
  <si>
    <t>Objeto de dominio que contiene las variables cognitivas de la aplicación</t>
  </si>
  <si>
    <t>Tipo Documento</t>
  </si>
  <si>
    <t>Objeto de dominio que contiene los diferentes tipos de documentos de identificación</t>
  </si>
  <si>
    <t>Programa</t>
  </si>
  <si>
    <t>Programa o carrera al que pertenece el estudiante</t>
  </si>
  <si>
    <t>Facultad</t>
  </si>
  <si>
    <t>Facultad a la que pertenece el programa</t>
  </si>
  <si>
    <t>Estado</t>
  </si>
  <si>
    <t>Objeto que contiene los posibles estados en los que pueden estar diferentes objetos de la aplicación.</t>
  </si>
  <si>
    <t>Genero</t>
  </si>
  <si>
    <t>Objeto que contiene el género.</t>
  </si>
  <si>
    <t>&lt;- Volver al inicio</t>
  </si>
  <si>
    <t>Identificador</t>
  </si>
  <si>
    <t>Nombres</t>
  </si>
  <si>
    <t>Apellidos</t>
  </si>
  <si>
    <t>Número Documento</t>
  </si>
  <si>
    <t>Fecha Nacimiento</t>
  </si>
  <si>
    <t>Correo</t>
  </si>
  <si>
    <t>Combinación Única</t>
  </si>
  <si>
    <t>2fd88624-547b-4007-a9c4-10281c7851d6</t>
  </si>
  <si>
    <t>Julián</t>
  </si>
  <si>
    <t>Alvares</t>
  </si>
  <si>
    <t>d46b3d71-994e-45e2-8355-15d2f14ae6ee</t>
  </si>
  <si>
    <t>Juan</t>
  </si>
  <si>
    <t>Valencia</t>
  </si>
  <si>
    <t>97d1029f-169b-48c4-a1cd-6e2371f01542</t>
  </si>
  <si>
    <t>Juana</t>
  </si>
  <si>
    <t>Zapata</t>
  </si>
  <si>
    <t>CE</t>
  </si>
  <si>
    <t>Fecha Inicio</t>
  </si>
  <si>
    <t>Fecha Fin</t>
  </si>
  <si>
    <t>d92712b5-5726-4b48-bf2d-24574e18f0a0</t>
  </si>
  <si>
    <t>Santiago</t>
  </si>
  <si>
    <t>Restrepo</t>
  </si>
  <si>
    <t>ea9413d6-0321-42c6-90e8-926b55cfeb79</t>
  </si>
  <si>
    <t>María</t>
  </si>
  <si>
    <t>Ramírez</t>
  </si>
  <si>
    <t>dfc7c77c-d686-4be3-a7c8-a8bdfed34041</t>
  </si>
  <si>
    <t>Cardona</t>
  </si>
  <si>
    <t xml:space="preserve">Estado </t>
  </si>
  <si>
    <t>22007c0d-594a-47b2-855a-d62c3bb4dee4</t>
  </si>
  <si>
    <t>bd693677-20ae-4145-ba61-b209d6fb048c</t>
  </si>
  <si>
    <t>db4521de-f79c-4372-bb53-08e715b19906</t>
  </si>
  <si>
    <t>19b0ea75-1dd0-4e6d-9dfb-c384837590c3</t>
  </si>
  <si>
    <t>135aa30f-fef2-41db-9944-67ccacb6336d</t>
  </si>
  <si>
    <t>4e059c13-0002-442a-8eba-829088e501d9</t>
  </si>
  <si>
    <t>af918fe6-cbec-4ee6-8e59-dde887fe4626</t>
  </si>
  <si>
    <t>f8190410-f4f6-4e40-8eb5-51d196c69714</t>
  </si>
  <si>
    <t>Entrenamiento cognitivo</t>
  </si>
  <si>
    <t>Tipo Variable Cognitiva</t>
  </si>
  <si>
    <t>Progreso</t>
  </si>
  <si>
    <t>Métricas</t>
  </si>
  <si>
    <t>Estado Variable Cognitiva</t>
  </si>
  <si>
    <t>Combinación única</t>
  </si>
  <si>
    <t>04269e32-c3e0-4523-ba89-75b9f65f06d9</t>
  </si>
  <si>
    <t>{
  "tarea": 3,
  "nivel realizado": 2
}</t>
  </si>
  <si>
    <t xml:space="preserve">{ 
"categoría":"y"
"tarea": 1,
 "nivel":1,
 "total_aciertos":145,
 "total_errores":5,
 "estado": "superado"
}, 
{ 
"categoría":"y"
"tarea": 1,
 "nivel":2,
 "total_aciertos":145,
 "total_errores":50,
 "estado": "fallido"
}, </t>
  </si>
  <si>
    <t>352581fa-154a-44d3-9a6b-45464ecc94ea</t>
  </si>
  <si>
    <t>{
  "tarea": 1,
  "nivel realizado": 3
}</t>
  </si>
  <si>
    <t xml:space="preserve">{
"categoría":"decodificación"
 "tarea": 1,
 "nivel":1,
 "total_aciertos":3,
 "total_errores":0,
 "estado": "superado"
} </t>
  </si>
  <si>
    <t>{
  "tarea": 1,
  "nivel realizado": 1
}</t>
  </si>
  <si>
    <t xml:space="preserve">{
"categoría":"razonamiento lógico"
 "tarea": 1,
 "nivel":1,
 "total_aciertos":16,
 "total_errores":4,
 "estado": "superado"
} </t>
  </si>
  <si>
    <t>Número Sesión</t>
  </si>
  <si>
    <t>Observación</t>
  </si>
  <si>
    <t>Combinacíon Unica</t>
  </si>
  <si>
    <t>14-03-2024 12:00</t>
  </si>
  <si>
    <t>14-03-2024 13:00</t>
  </si>
  <si>
    <t>Texto libre para el entrenador</t>
  </si>
  <si>
    <t>15-03-2024 12:00</t>
  </si>
  <si>
    <t>15-03-2024 13:00</t>
  </si>
  <si>
    <t>16-03-2024 12:00</t>
  </si>
  <si>
    <t>16-03-2024 13:00</t>
  </si>
  <si>
    <t>Activo</t>
  </si>
  <si>
    <t>5f7b2299-a0b8-4fe7-855c-754486c7d6ab</t>
  </si>
  <si>
    <t>Procrastinación</t>
  </si>
  <si>
    <t>Variable Cognitiva de Procrastinación</t>
  </si>
  <si>
    <t>Lectura Critica</t>
  </si>
  <si>
    <t>Variable Cognitiva de Lectura Critica</t>
  </si>
  <si>
    <t>f0b78c10-c35b-4209-b70f-50b14d2f51d4</t>
  </si>
  <si>
    <t>Razonamiento Cuantitativo</t>
  </si>
  <si>
    <t>Variable Cognitiva de Razonamiento Cuantitativo</t>
  </si>
  <si>
    <t>153081f7-1a2a-4f57-8102-18ba6245e6f0</t>
  </si>
  <si>
    <t xml:space="preserve">Control inhibitorio </t>
  </si>
  <si>
    <t>Variable Cognitiva de Control Inhibitorio</t>
  </si>
  <si>
    <t>Sigla</t>
  </si>
  <si>
    <t>bc67c415-0130-4359-bd9f-4352e2e0780b</t>
  </si>
  <si>
    <t>CC</t>
  </si>
  <si>
    <t>Cedula de Ciudadanía</t>
  </si>
  <si>
    <t>559538ce-ba7a-45fe-b8be-8505d5b261ed</t>
  </si>
  <si>
    <t>TI</t>
  </si>
  <si>
    <t>Tarjeta de Identidad</t>
  </si>
  <si>
    <t>c76019a2-2ad1-42ea-8605-5d45655ff36d</t>
  </si>
  <si>
    <t>Cedula de Extranjería</t>
  </si>
  <si>
    <t>SNIES</t>
  </si>
  <si>
    <t>ff89caaf-6905-4800-8509-f56e591ba94e</t>
  </si>
  <si>
    <t>Ingeniería de Sistemas</t>
  </si>
  <si>
    <t>420636b5-8296-4a42-bd91-b4d75aef4693</t>
  </si>
  <si>
    <t>Derecho</t>
  </si>
  <si>
    <t>09b12f03-c7ae-447d-aa10-75e2795da623</t>
  </si>
  <si>
    <t>Trabajo Social</t>
  </si>
  <si>
    <t>51f48f44-aa08-4d91-9f78-afa1cffeca78</t>
  </si>
  <si>
    <t>Ciencias Exactas</t>
  </si>
  <si>
    <t>df32d735-830a-46f1-9aa9-78d3af207231</t>
  </si>
  <si>
    <t>0d4f6c95-db9f-48a4-bf4b-e5d25cdad738</t>
  </si>
  <si>
    <t>Ciencias Sociales</t>
  </si>
  <si>
    <t>Código</t>
  </si>
  <si>
    <t>785ca388-0997-4422-b043-446564a10a90</t>
  </si>
  <si>
    <t>Finalizado</t>
  </si>
  <si>
    <t>F</t>
  </si>
  <si>
    <t>450cfba6-aba0-4204-9e3a-26a6f55bf3c7</t>
  </si>
  <si>
    <t>En Progreso</t>
  </si>
  <si>
    <t>EP</t>
  </si>
  <si>
    <t>4f9cf128-3947-4dcf-bddd-2e1fa1953a0c</t>
  </si>
  <si>
    <t>Abandonado</t>
  </si>
  <si>
    <t>AB</t>
  </si>
  <si>
    <t>be31289d-d84e-4bb4-88f8-8d2f0233e5ac</t>
  </si>
  <si>
    <t>A</t>
  </si>
  <si>
    <t>7c021ad0-18f2-4d5e-b3d8-a6d5d77788c4</t>
  </si>
  <si>
    <t>Inactivo</t>
  </si>
  <si>
    <t>I</t>
  </si>
  <si>
    <t>fae14f9d-221e-4009-85fc-52808572b6ea</t>
  </si>
  <si>
    <t>No Aplica</t>
  </si>
  <si>
    <t>NP</t>
  </si>
  <si>
    <t>Repetir</t>
  </si>
  <si>
    <t>R</t>
  </si>
  <si>
    <t>Femenino</t>
  </si>
  <si>
    <t>Masculino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</si>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</sst>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\-m\-yy\ h:mm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6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/>
    </xf>
    <xf numFmtId="0" fontId="1" fillId="3" borderId="6" xfId="1" applyFill="1" applyBorder="1" applyAlignment="1">
      <alignment horizontal="center" vertical="center"/>
    </xf>
    <xf numFmtId="0" fontId="0" fillId="5" borderId="6" xfId="0" applyFill="1" applyBorder="1" applyAlignment="1">
      <alignment vertical="center" wrapText="1"/>
    </xf>
    <xf numFmtId="0" fontId="1" fillId="0" borderId="0" xfId="1"/>
    <xf numFmtId="0" fontId="2" fillId="2" borderId="6" xfId="0" applyFont="1" applyFill="1" applyBorder="1" applyAlignment="1">
      <alignment horizontal="center" vertical="center"/>
    </xf>
    <xf numFmtId="0" fontId="0" fillId="0" borderId="6" xfId="0" applyBorder="1"/>
    <xf numFmtId="164" fontId="0" fillId="0" borderId="0" xfId="0" applyNumberFormat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1" fillId="3" borderId="7" xfId="1" applyFill="1" applyBorder="1" applyAlignment="1">
      <alignment horizontal="center" vertical="center"/>
    </xf>
    <xf numFmtId="0" fontId="1" fillId="0" borderId="6" xfId="1" applyBorder="1" applyAlignment="1">
      <alignment horizontal="center" vertical="center" wrapText="1"/>
    </xf>
    <xf numFmtId="164" fontId="0" fillId="0" borderId="0" xfId="0" applyNumberFormat="1"/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/>
    </xf>
    <xf numFmtId="0" fontId="0" fillId="0" borderId="7" xfId="0" applyBorder="1"/>
    <xf numFmtId="0" fontId="1" fillId="0" borderId="9" xfId="1" applyBorder="1" applyAlignment="1">
      <alignment horizontal="center" vertical="center" wrapText="1"/>
    </xf>
    <xf numFmtId="0" fontId="1" fillId="0" borderId="0" xfId="1" applyBorder="1" applyAlignment="1">
      <alignment vertic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6" xfId="1" applyNumberFormat="1" applyFont="1" applyBorder="1" applyAlignment="1">
      <alignment horizontal="center" vertical="center" wrapText="1"/>
    </xf>
    <xf numFmtId="0" fontId="0" fillId="0" borderId="6" xfId="1" applyFont="1" applyBorder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7" xfId="0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164" fontId="2" fillId="6" borderId="5" xfId="0" applyNumberFormat="1" applyFont="1" applyFill="1" applyBorder="1" applyAlignment="1">
      <alignment horizontal="center" vertical="center" wrapText="1"/>
    </xf>
    <xf numFmtId="0" fontId="0" fillId="0" borderId="9" xfId="1" applyFon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3" fillId="7" borderId="11" xfId="1" applyFont="1" applyFill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 wrapText="1"/>
    </xf>
    <xf numFmtId="0" fontId="1" fillId="0" borderId="0" xfId="1" applyBorder="1" applyAlignment="1">
      <alignment horizontal="left" vertical="center" wrapText="1"/>
    </xf>
    <xf numFmtId="165" fontId="0" fillId="0" borderId="6" xfId="1" applyNumberFormat="1" applyFont="1" applyBorder="1" applyAlignment="1">
      <alignment horizontal="center" vertical="center"/>
    </xf>
    <xf numFmtId="165" fontId="0" fillId="0" borderId="9" xfId="1" applyNumberFormat="1" applyFont="1" applyBorder="1" applyAlignment="1">
      <alignment horizontal="center" vertical="center" wrapText="1"/>
    </xf>
    <xf numFmtId="0" fontId="0" fillId="8" borderId="2" xfId="0" applyFill="1" applyBorder="1" applyAlignment="1">
      <alignment horizontal="center" wrapText="1"/>
    </xf>
    <xf numFmtId="0" fontId="0" fillId="8" borderId="10" xfId="0" applyFill="1" applyBorder="1" applyAlignment="1">
      <alignment horizont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164" fontId="2" fillId="8" borderId="4" xfId="0" applyNumberFormat="1" applyFont="1" applyFill="1" applyBorder="1" applyAlignment="1">
      <alignment horizontal="center" vertical="center" wrapText="1"/>
    </xf>
    <xf numFmtId="0" fontId="1" fillId="9" borderId="6" xfId="1" applyFill="1" applyBorder="1" applyAlignment="1">
      <alignment horizontal="center" vertical="center" wrapText="1"/>
    </xf>
    <xf numFmtId="0" fontId="1" fillId="9" borderId="9" xfId="1" applyFill="1" applyBorder="1" applyAlignment="1">
      <alignment horizontal="center" vertical="center" wrapText="1"/>
    </xf>
    <xf numFmtId="164" fontId="0" fillId="8" borderId="2" xfId="0" applyNumberFormat="1" applyFill="1" applyBorder="1" applyAlignment="1">
      <alignment horizontal="center" vertical="center" wrapText="1"/>
    </xf>
    <xf numFmtId="0" fontId="1" fillId="0" borderId="0" xfId="1" applyBorder="1" applyAlignment="1">
      <alignment horizontal="left" vertical="center"/>
    </xf>
    <xf numFmtId="0" fontId="1" fillId="0" borderId="0" xfId="1" applyBorder="1" applyAlignment="1">
      <alignment horizontal="left"/>
    </xf>
    <xf numFmtId="0" fontId="1" fillId="0" borderId="0" xfId="1" applyAlignment="1">
      <alignment horizontal="left" vertical="center"/>
    </xf>
    <xf numFmtId="0" fontId="0" fillId="8" borderId="2" xfId="0" applyFill="1" applyBorder="1"/>
    <xf numFmtId="0" fontId="0" fillId="8" borderId="10" xfId="0" applyFill="1" applyBorder="1"/>
    <xf numFmtId="164" fontId="0" fillId="8" borderId="10" xfId="0" applyNumberForma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6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2" fillId="6" borderId="5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0" fillId="8" borderId="13" xfId="1" applyFont="1" applyFill="1" applyBorder="1" applyAlignment="1">
      <alignment horizontal="center" vertical="center" wrapText="1"/>
    </xf>
    <xf numFmtId="0" fontId="0" fillId="8" borderId="14" xfId="1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1" fillId="0" borderId="6" xfId="1" applyFill="1" applyBorder="1" applyAlignment="1">
      <alignment horizontal="center" vertical="center"/>
    </xf>
    <xf numFmtId="164" fontId="2" fillId="6" borderId="5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wrapText="1"/>
    </xf>
    <xf numFmtId="0" fontId="1" fillId="0" borderId="0" xfId="1" applyFill="1" applyAlignment="1">
      <alignment horizontal="left" vertical="center"/>
    </xf>
    <xf numFmtId="0" fontId="1" fillId="9" borderId="6" xfId="1" applyNumberFormat="1" applyFill="1" applyBorder="1" applyAlignment="1">
      <alignment horizontal="center" vertical="center"/>
    </xf>
    <xf numFmtId="0" fontId="1" fillId="9" borderId="9" xfId="1" applyNumberFormat="1" applyFill="1" applyBorder="1" applyAlignment="1">
      <alignment horizontal="center" vertical="center"/>
    </xf>
    <xf numFmtId="0" fontId="0" fillId="0" borderId="7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 wrapText="1"/>
    </xf>
    <xf numFmtId="164" fontId="2" fillId="8" borderId="4" xfId="0" applyNumberFormat="1" applyFont="1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164" fontId="2" fillId="8" borderId="5" xfId="0" applyNumberFormat="1" applyFont="1" applyFill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1" fillId="10" borderId="6" xfId="1" applyFill="1" applyBorder="1" applyAlignment="1">
      <alignment horizontal="center" vertical="center" wrapText="1"/>
    </xf>
    <xf numFmtId="0" fontId="1" fillId="10" borderId="9" xfId="1" applyFill="1" applyBorder="1" applyAlignment="1">
      <alignment horizontal="center" vertical="center" wrapText="1"/>
    </xf>
    <xf numFmtId="0" fontId="1" fillId="0" borderId="0" xfId="1" applyBorder="1" applyAlignment="1">
      <alignment vertical="center" wrapText="1"/>
    </xf>
    <xf numFmtId="0" fontId="1" fillId="0" borderId="0" xfId="1" applyBorder="1" applyAlignment="1">
      <alignment horizontal="center" vertical="center" wrapText="1"/>
    </xf>
    <xf numFmtId="0" fontId="1" fillId="0" borderId="0" xfId="1" applyBorder="1" applyAlignment="1">
      <alignment horizontal="left" vertical="center" wrapText="1"/>
    </xf>
    <xf numFmtId="0" fontId="1" fillId="0" borderId="0" xfId="1" applyBorder="1" applyAlignment="1">
      <alignment horizontal="left" vertical="center"/>
    </xf>
    <xf numFmtId="0" fontId="1" fillId="0" borderId="0" xfId="1" applyBorder="1" applyAlignment="1">
      <alignment horizontal="left"/>
    </xf>
    <xf numFmtId="0" fontId="1" fillId="0" borderId="0" xfId="1" applyAlignment="1">
      <alignment horizontal="left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352425</xdr:colOff>
      <xdr:row>34</xdr:row>
      <xdr:rowOff>104775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5BB389E-809F-CB49-16B1-DA3E14804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96425" cy="658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5D75-483C-4AA4-B22F-35003C9BCAFF}">
  <dimension ref="A1"/>
  <sheetViews>
    <sheetView workbookViewId="0">
      <selection activeCell="S12" sqref="S12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ABFD-4BD1-4017-877B-840E0DDF9F93}">
  <dimension ref="A1:F17"/>
  <sheetViews>
    <sheetView topLeftCell="A3" workbookViewId="0">
      <selection activeCell="F19" sqref="F19"/>
    </sheetView>
  </sheetViews>
  <sheetFormatPr defaultColWidth="9.140625" defaultRowHeight="15"/>
  <cols>
    <col min="1" max="1" width="24.85546875" customWidth="1"/>
    <col min="2" max="2" width="22.140625" customWidth="1"/>
    <col min="3" max="3" width="57.140625" customWidth="1"/>
  </cols>
  <sheetData>
    <row r="1" spans="1:6" ht="39.75" customHeight="1">
      <c r="A1" s="11" t="s">
        <v>0</v>
      </c>
      <c r="B1" s="11" t="s">
        <v>1</v>
      </c>
      <c r="C1" s="11" t="s">
        <v>2</v>
      </c>
    </row>
    <row r="2" spans="1:6" ht="33" customHeight="1">
      <c r="A2" s="7" t="s">
        <v>3</v>
      </c>
      <c r="B2" s="8" t="s">
        <v>4</v>
      </c>
      <c r="C2" s="9" t="s">
        <v>5</v>
      </c>
    </row>
    <row r="3" spans="1:6" ht="31.5" customHeight="1">
      <c r="A3" s="7" t="s">
        <v>6</v>
      </c>
      <c r="B3" s="8" t="s">
        <v>4</v>
      </c>
      <c r="C3" s="9" t="s">
        <v>7</v>
      </c>
    </row>
    <row r="4" spans="1:6" ht="31.5" customHeight="1">
      <c r="A4" s="7" t="s">
        <v>8</v>
      </c>
      <c r="B4" s="8" t="s">
        <v>4</v>
      </c>
      <c r="C4" s="9" t="s">
        <v>9</v>
      </c>
    </row>
    <row r="5" spans="1:6" ht="32.25" customHeight="1">
      <c r="A5" s="14" t="s">
        <v>10</v>
      </c>
      <c r="B5" s="15" t="s">
        <v>4</v>
      </c>
      <c r="C5" s="32" t="s">
        <v>11</v>
      </c>
      <c r="F5" s="10"/>
    </row>
    <row r="6" spans="1:6" ht="32.25" customHeight="1">
      <c r="A6" s="14" t="s">
        <v>12</v>
      </c>
      <c r="B6" s="15" t="s">
        <v>4</v>
      </c>
      <c r="C6" s="32" t="s">
        <v>13</v>
      </c>
      <c r="F6" s="10"/>
    </row>
    <row r="7" spans="1:6" ht="45.75">
      <c r="A7" s="7" t="s">
        <v>14</v>
      </c>
      <c r="B7" s="8" t="s">
        <v>4</v>
      </c>
      <c r="C7" s="9" t="s">
        <v>15</v>
      </c>
    </row>
    <row r="8" spans="1:6" ht="35.25" customHeight="1">
      <c r="A8" s="7" t="s">
        <v>16</v>
      </c>
      <c r="B8" s="8" t="s">
        <v>4</v>
      </c>
      <c r="C8" s="9" t="s">
        <v>17</v>
      </c>
    </row>
    <row r="9" spans="1:6" ht="35.25" customHeight="1">
      <c r="A9" s="42" t="s">
        <v>18</v>
      </c>
      <c r="B9" s="15" t="s">
        <v>4</v>
      </c>
      <c r="C9" s="9" t="s">
        <v>19</v>
      </c>
    </row>
    <row r="10" spans="1:6" ht="42.75" customHeight="1">
      <c r="A10" s="31" t="s">
        <v>20</v>
      </c>
      <c r="B10" s="15" t="s">
        <v>4</v>
      </c>
      <c r="C10" s="9" t="s">
        <v>21</v>
      </c>
    </row>
    <row r="11" spans="1:6" ht="42.75" customHeight="1">
      <c r="A11" s="14" t="s">
        <v>22</v>
      </c>
      <c r="B11" s="15" t="s">
        <v>4</v>
      </c>
      <c r="C11" s="9" t="s">
        <v>23</v>
      </c>
    </row>
    <row r="12" spans="1:6" ht="32.25" customHeight="1">
      <c r="A12" s="14" t="s">
        <v>24</v>
      </c>
      <c r="B12" s="15" t="s">
        <v>4</v>
      </c>
      <c r="C12" s="9" t="s">
        <v>25</v>
      </c>
      <c r="F12" s="10"/>
    </row>
    <row r="13" spans="1:6">
      <c r="A13" s="21" t="s">
        <v>26</v>
      </c>
      <c r="B13" s="15" t="s">
        <v>4</v>
      </c>
      <c r="C13" s="22" t="s">
        <v>27</v>
      </c>
    </row>
    <row r="14" spans="1:6">
      <c r="A14" s="7" t="s">
        <v>28</v>
      </c>
      <c r="B14" s="8" t="s">
        <v>4</v>
      </c>
      <c r="C14" s="12" t="s">
        <v>29</v>
      </c>
    </row>
    <row r="15" spans="1:6" ht="27.75">
      <c r="A15" s="7" t="s">
        <v>30</v>
      </c>
      <c r="B15" s="8" t="s">
        <v>4</v>
      </c>
      <c r="C15" s="18" t="s">
        <v>31</v>
      </c>
    </row>
    <row r="16" spans="1:6">
      <c r="A16" s="7" t="s">
        <v>32</v>
      </c>
      <c r="B16" s="8" t="s">
        <v>4</v>
      </c>
      <c r="C16" s="18" t="s">
        <v>33</v>
      </c>
    </row>
    <row r="17" spans="2:2">
      <c r="B17" s="10"/>
    </row>
  </sheetData>
  <hyperlinks>
    <hyperlink ref="B2" location="'Estudiante'!A1" display="Enlance" xr:uid="{FD46312C-2BDD-4E9D-BEB4-88C0D15DE957}"/>
    <hyperlink ref="B8:B10" location="'Aplicación'!A1" display="Enlance" xr:uid="{324E9462-9A14-43A5-8099-16A586FB6200}"/>
    <hyperlink ref="B3" location="'Entrenador'!A1" display="Enlace" xr:uid="{F0B30C4A-9DBD-41EB-BE7A-EFB2E5D157C9}"/>
    <hyperlink ref="B8" location="'Entrenador Entrenamiento'!A1" display="Enlace" xr:uid="{3CC40B4A-5B00-47E2-B4B2-83A462240725}"/>
    <hyperlink ref="B10" location="'Asignación Variable Coginitiva'!A1" display="Enlace" xr:uid="{2024003D-1D8E-413B-9A16-1E7D08F30198}"/>
    <hyperlink ref="B13" location="'Programa'!A1" display="Enlace" xr:uid="{6084FAAA-4351-41F0-9F7E-8477788CE46D}"/>
    <hyperlink ref="B14" location="'Facultad'!A1" display="Enlace" xr:uid="{9113E012-405E-4182-AAFF-FD840030403D}"/>
    <hyperlink ref="B12" location="'Tipo Documento'!A1" display="Enlace" xr:uid="{21508086-5848-424F-8B94-9BB7A954C05B}"/>
    <hyperlink ref="B15" location="'Estado'!A1" display="Enlace" xr:uid="{D4E03DF6-AC5C-4A7D-A1A0-9D6DBEB26184}"/>
    <hyperlink ref="B11" location="'Variable Cognitiva'!A1" display="Enlace" xr:uid="{FBAD0AE2-2FDC-4EFE-9CAE-D34553B8BB28}"/>
    <hyperlink ref="B5" location="'Estudiante Programa'!A1" display="Enlace" xr:uid="{C64D048A-F988-447D-B46C-78AEAE272D7E}"/>
    <hyperlink ref="B9" location="'Sesion Entrenamiento'!A1" display="Enlace" xr:uid="{1FD06FCB-4880-49BB-A52D-56D6A0D22361}"/>
    <hyperlink ref="B4" location="'Administrador'!A1" display="Enlace" xr:uid="{FFF72D40-6907-4BC5-9C50-79E73308C446}"/>
    <hyperlink ref="B16" location="'genero'!A1" display="Enlace" xr:uid="{C70A3045-FC55-4F17-872F-7B86DBD4F0C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C590-796B-4F45-815D-12C9EAEC194A}">
  <dimension ref="A1:K5"/>
  <sheetViews>
    <sheetView workbookViewId="0">
      <selection activeCell="K3" sqref="K3"/>
    </sheetView>
  </sheetViews>
  <sheetFormatPr defaultColWidth="9.140625" defaultRowHeight="15"/>
  <cols>
    <col min="1" max="1" width="22.85546875" style="62" customWidth="1"/>
    <col min="2" max="4" width="15" style="62" customWidth="1"/>
    <col min="5" max="5" width="12.7109375" style="62" customWidth="1"/>
    <col min="6" max="6" width="20" style="62" customWidth="1"/>
    <col min="7" max="7" width="14.85546875" style="63" customWidth="1"/>
    <col min="8" max="9" width="18.42578125" style="63" customWidth="1"/>
    <col min="10" max="10" width="24" style="62" customWidth="1"/>
    <col min="11" max="11" width="21" style="62" customWidth="1"/>
    <col min="12" max="12" width="9.140625" style="62"/>
    <col min="13" max="13" width="13.42578125" style="62" customWidth="1"/>
    <col min="14" max="16384" width="9.140625" style="62"/>
  </cols>
  <sheetData>
    <row r="1" spans="1:11">
      <c r="A1" s="100" t="s">
        <v>34</v>
      </c>
      <c r="B1" s="100"/>
      <c r="C1" s="100"/>
      <c r="D1" s="100"/>
      <c r="E1" s="100"/>
      <c r="F1" s="100"/>
      <c r="G1" s="100"/>
      <c r="H1" s="24"/>
      <c r="I1" s="24"/>
    </row>
    <row r="2" spans="1:11" ht="31.5" customHeight="1">
      <c r="A2" s="3" t="s">
        <v>35</v>
      </c>
      <c r="B2" s="4" t="s">
        <v>36</v>
      </c>
      <c r="C2" s="4" t="s">
        <v>37</v>
      </c>
      <c r="D2" s="4" t="s">
        <v>24</v>
      </c>
      <c r="E2" s="4" t="s">
        <v>38</v>
      </c>
      <c r="F2" s="4" t="s">
        <v>32</v>
      </c>
      <c r="G2" s="34" t="s">
        <v>39</v>
      </c>
      <c r="H2" s="34" t="s">
        <v>40</v>
      </c>
      <c r="I2" s="34" t="s">
        <v>30</v>
      </c>
      <c r="J2" s="93" t="s">
        <v>41</v>
      </c>
      <c r="K2" s="51" t="s">
        <v>41</v>
      </c>
    </row>
    <row r="3" spans="1:11" ht="38.25" customHeight="1">
      <c r="A3" s="5" t="s">
        <v>42</v>
      </c>
      <c r="B3" s="6" t="s">
        <v>43</v>
      </c>
      <c r="C3" s="6" t="s">
        <v>44</v>
      </c>
      <c r="D3" s="16" t="str">
        <f>'Tipo Documento'!B3</f>
        <v>CC</v>
      </c>
      <c r="E3" s="28">
        <v>132103265</v>
      </c>
      <c r="F3" s="16" t="str">
        <f>Genero!C4</f>
        <v>Masculino</v>
      </c>
      <c r="G3" s="96">
        <v>36157</v>
      </c>
      <c r="H3" s="6" t="str">
        <f>_xlfn.CONCAT(B3,"@uco.net.co")</f>
        <v>Julián@uco.net.co</v>
      </c>
      <c r="I3" s="98" t="str">
        <f>Estado!$D$6</f>
        <v>Activo</v>
      </c>
      <c r="J3" s="92" t="str">
        <f>_xlfn.CONCAT(D3,"-",E3)</f>
        <v>CC-132103265</v>
      </c>
      <c r="K3" s="55" t="str">
        <f>H3</f>
        <v>Julián@uco.net.co</v>
      </c>
    </row>
    <row r="4" spans="1:11" ht="30.75">
      <c r="A4" s="5" t="s">
        <v>45</v>
      </c>
      <c r="B4" s="6" t="s">
        <v>46</v>
      </c>
      <c r="C4" s="6" t="s">
        <v>47</v>
      </c>
      <c r="D4" s="74" t="str">
        <f>'Tipo Documento'!B4</f>
        <v>TI</v>
      </c>
      <c r="E4" s="28">
        <v>93092010</v>
      </c>
      <c r="F4" s="16" t="str">
        <f>Genero!C4</f>
        <v>Masculino</v>
      </c>
      <c r="G4" s="96">
        <v>36158</v>
      </c>
      <c r="H4" s="6" t="str">
        <f>_xlfn.CONCAT(B4,"@uco.net.co")</f>
        <v>Juan@uco.net.co</v>
      </c>
      <c r="I4" s="98" t="str">
        <f>Estado!$D$6</f>
        <v>Activo</v>
      </c>
      <c r="J4" s="92" t="str">
        <f t="shared" ref="J4:J5" si="0">_xlfn.CONCAT(D4,"-",E4)</f>
        <v>TI-93092010</v>
      </c>
      <c r="K4" s="55" t="str">
        <f>H4</f>
        <v>Juan@uco.net.co</v>
      </c>
    </row>
    <row r="5" spans="1:11" ht="30.75">
      <c r="A5" s="19" t="s">
        <v>48</v>
      </c>
      <c r="B5" s="20" t="s">
        <v>49</v>
      </c>
      <c r="C5" s="20" t="s">
        <v>50</v>
      </c>
      <c r="D5" s="23" t="s">
        <v>51</v>
      </c>
      <c r="E5" s="35">
        <v>1043759354</v>
      </c>
      <c r="F5" s="23" t="str">
        <f>Genero!C5</f>
        <v>Otro</v>
      </c>
      <c r="G5" s="97">
        <v>36159</v>
      </c>
      <c r="H5" s="20" t="str">
        <f t="shared" ref="H4:H5" si="1">_xlfn.CONCAT(B5,"@uco.net.co")</f>
        <v>Juana@uco.net.co</v>
      </c>
      <c r="I5" s="99" t="str">
        <f>Estado!$D$6</f>
        <v>Activo</v>
      </c>
      <c r="J5" s="94" t="str">
        <f t="shared" si="0"/>
        <v>CE-1043759354</v>
      </c>
      <c r="K5" s="61" t="str">
        <f>H5</f>
        <v>Juana@uco.net.co</v>
      </c>
    </row>
  </sheetData>
  <mergeCells count="1">
    <mergeCell ref="A1:G1"/>
  </mergeCells>
  <hyperlinks>
    <hyperlink ref="A1" location="'Objetos de dominio'!A1" display="&lt;- Volver al inicio" xr:uid="{D74D1361-A7A5-4D7A-8738-C4D2676C11D1}"/>
    <hyperlink ref="F3" location="'Genero'!C4" display="=Genero!C4" xr:uid="{DBCBCECC-94D4-4E07-88A8-96E5C1D0DFD3}"/>
    <hyperlink ref="F4" location="'Genero'!C4" display="=Genero!C4" xr:uid="{05EE90AD-72E3-4307-950D-3BC3507A3582}"/>
    <hyperlink ref="F5" location="'Genero'!C5" display="=Genero!C5" xr:uid="{9BA318D4-10F5-4AC6-8525-4702DC8C3044}"/>
    <hyperlink ref="D3" location="'Tipo Documento'!B3" display="='Tipo Documento'!B3" xr:uid="{93441D1D-5C09-4169-8CA4-5FFDC4A97A4C}"/>
    <hyperlink ref="D5" location="'Tipo Documento'!B5" display="CE" xr:uid="{4065AFF0-8D12-427D-B204-66FCE57B70E5}"/>
    <hyperlink ref="D4" location="'Tipo Documento'!B4" display="TI" xr:uid="{A5166030-7D8C-42C3-8028-924898DC0CBB}"/>
    <hyperlink ref="I3" location="'Estado'!D6" display="=Estado!$D$6" xr:uid="{F4868988-4F6B-48AC-849B-3FFDB70735B9}"/>
    <hyperlink ref="I4:I5" location="'Estado'!D6" display="=Estado!$D$6" xr:uid="{D8001931-AC60-4750-A76A-DE90C63C3AE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E1943-A5CE-4B3D-85A9-6A019122D05F}">
  <dimension ref="A1:K5"/>
  <sheetViews>
    <sheetView workbookViewId="0">
      <selection activeCell="J3" sqref="J3"/>
    </sheetView>
  </sheetViews>
  <sheetFormatPr defaultColWidth="9.140625" defaultRowHeight="15"/>
  <cols>
    <col min="1" max="1" width="25.28515625" style="25" customWidth="1"/>
    <col min="2" max="3" width="9.140625" style="25"/>
    <col min="4" max="4" width="12.85546875" style="25" customWidth="1"/>
    <col min="5" max="5" width="10.85546875" style="25" bestFit="1" customWidth="1"/>
    <col min="6" max="6" width="9" style="25" customWidth="1"/>
    <col min="7" max="8" width="11.42578125" style="26" bestFit="1" customWidth="1"/>
    <col min="9" max="9" width="24.5703125" style="26" customWidth="1"/>
    <col min="10" max="10" width="17.85546875" style="25" customWidth="1"/>
    <col min="11" max="11" width="21.140625" style="25" customWidth="1"/>
    <col min="12" max="16384" width="9.140625" style="25"/>
  </cols>
  <sheetData>
    <row r="1" spans="1:11">
      <c r="A1" s="101" t="s">
        <v>34</v>
      </c>
      <c r="B1" s="101"/>
      <c r="C1" s="101"/>
      <c r="D1" s="101"/>
      <c r="E1" s="101"/>
      <c r="F1" s="101"/>
    </row>
    <row r="2" spans="1:11" ht="34.5" customHeight="1">
      <c r="A2" s="3" t="s">
        <v>35</v>
      </c>
      <c r="B2" s="4" t="s">
        <v>36</v>
      </c>
      <c r="C2" s="4" t="s">
        <v>37</v>
      </c>
      <c r="D2" s="4" t="s">
        <v>24</v>
      </c>
      <c r="E2" s="4" t="s">
        <v>38</v>
      </c>
      <c r="F2" s="4" t="s">
        <v>30</v>
      </c>
      <c r="G2" s="34" t="s">
        <v>52</v>
      </c>
      <c r="H2" s="34" t="s">
        <v>53</v>
      </c>
      <c r="I2" s="34" t="s">
        <v>40</v>
      </c>
      <c r="J2" s="95" t="s">
        <v>41</v>
      </c>
      <c r="K2" s="52" t="s">
        <v>41</v>
      </c>
    </row>
    <row r="3" spans="1:11" ht="30.75">
      <c r="A3" s="5" t="s">
        <v>54</v>
      </c>
      <c r="B3" s="6" t="s">
        <v>55</v>
      </c>
      <c r="C3" s="6" t="s">
        <v>56</v>
      </c>
      <c r="D3" s="16" t="str">
        <f>'Tipo Documento'!$B$3</f>
        <v>CC</v>
      </c>
      <c r="E3" s="27">
        <v>651819461</v>
      </c>
      <c r="F3" s="53" t="str">
        <f>Estado!B6</f>
        <v>Activo</v>
      </c>
      <c r="G3" s="30">
        <v>45607</v>
      </c>
      <c r="H3" s="30">
        <v>45782</v>
      </c>
      <c r="I3" s="30" t="str">
        <f>_xlfn.CONCAT(B3,C3,"@uco.net.co")</f>
        <v>SantiagoRestrepo@uco.net.co</v>
      </c>
      <c r="J3" s="92" t="str">
        <f>_xlfn.CONCAT(D3,"-",E3)</f>
        <v>CC-651819461</v>
      </c>
      <c r="K3" s="55" t="str">
        <f>I3</f>
        <v>SantiagoRestrepo@uco.net.co</v>
      </c>
    </row>
    <row r="4" spans="1:11" ht="30.75">
      <c r="A4" s="5" t="s">
        <v>57</v>
      </c>
      <c r="B4" s="6" t="s">
        <v>58</v>
      </c>
      <c r="C4" s="6" t="s">
        <v>59</v>
      </c>
      <c r="D4" s="16" t="str">
        <f>'Tipo Documento'!$B$3</f>
        <v>CC</v>
      </c>
      <c r="E4" s="28">
        <v>982613454</v>
      </c>
      <c r="F4" s="53" t="str">
        <f>Estado!B7</f>
        <v>Inactivo</v>
      </c>
      <c r="G4" s="30">
        <v>45323</v>
      </c>
      <c r="H4" s="30">
        <v>45483</v>
      </c>
      <c r="I4" s="30" t="str">
        <f t="shared" ref="I4:I5" si="0">_xlfn.CONCAT(B4,C4,"@uco.net.co")</f>
        <v>MaríaRamírez@uco.net.co</v>
      </c>
      <c r="J4" s="92" t="str">
        <f t="shared" ref="J4:J5" si="1">_xlfn.CONCAT(D4,"-",E4)</f>
        <v>CC-982613454</v>
      </c>
      <c r="K4" s="55" t="str">
        <f>I4</f>
        <v>MaríaRamírez@uco.net.co</v>
      </c>
    </row>
    <row r="5" spans="1:11" ht="30.75">
      <c r="A5" s="19" t="s">
        <v>60</v>
      </c>
      <c r="B5" s="20" t="s">
        <v>46</v>
      </c>
      <c r="C5" s="20" t="s">
        <v>61</v>
      </c>
      <c r="D5" s="23" t="str">
        <f>'Tipo Documento'!$B$3</f>
        <v>CC</v>
      </c>
      <c r="E5" s="35">
        <v>320351680</v>
      </c>
      <c r="F5" s="54" t="str">
        <f>Estado!B6</f>
        <v>Activo</v>
      </c>
      <c r="G5" s="36">
        <v>45691</v>
      </c>
      <c r="H5" s="36">
        <v>45828</v>
      </c>
      <c r="I5" s="36" t="str">
        <f t="shared" si="0"/>
        <v>JuanCardona@uco.net.co</v>
      </c>
      <c r="J5" s="94" t="str">
        <f t="shared" si="1"/>
        <v>CC-320351680</v>
      </c>
      <c r="K5" s="61" t="str">
        <f>I5</f>
        <v>JuanCardona@uco.net.co</v>
      </c>
    </row>
  </sheetData>
  <mergeCells count="1">
    <mergeCell ref="A1:F1"/>
  </mergeCells>
  <hyperlinks>
    <hyperlink ref="A1" location="'Objetos de dominio'!A1" display="&lt;- Volver al inicio" xr:uid="{99AAAAB8-410A-4A94-8B41-B554F75DF788}"/>
    <hyperlink ref="A1:F1" location="'Objetos de Dominio'!A3" display="&lt;- Volver al inicio" xr:uid="{9D4929B7-91E9-4C43-A325-01E4295F5C45}"/>
    <hyperlink ref="F3" location="'Estado'!D6" display="=Estado!B6" xr:uid="{C45CFD37-7FCE-44D6-AC13-ABDB1D51EBB8}"/>
    <hyperlink ref="F5" location="'Estado'!D6" display="=Estado!B6" xr:uid="{806AB674-FCFA-454F-88AE-A8C3EE4FDF27}"/>
    <hyperlink ref="F4" location="'Estado'!D7" display="=Estado!B7" xr:uid="{66FADC6F-C8F9-4CE1-8392-5666A8F20F38}"/>
    <hyperlink ref="D3" location="'Tipo Documento'!B3" display="='Tipo Documento'!$B$3" xr:uid="{01561F54-658B-4B43-A81E-630CAF4AE8C3}"/>
    <hyperlink ref="D4:D5" location="'Tipo Documento'!B3" display="='Tipo Documento'!$B$3" xr:uid="{01811054-F6F0-454C-AB56-BB037B470E1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7D10-7EE8-4954-8572-4F00B14D4923}">
  <dimension ref="A1:I5"/>
  <sheetViews>
    <sheetView workbookViewId="0">
      <selection activeCell="D10" sqref="D10"/>
    </sheetView>
  </sheetViews>
  <sheetFormatPr defaultColWidth="9.140625" defaultRowHeight="15"/>
  <cols>
    <col min="1" max="1" width="25.28515625" style="25" customWidth="1"/>
    <col min="2" max="3" width="9.140625" style="25"/>
    <col min="4" max="4" width="16.140625" style="25" bestFit="1" customWidth="1"/>
    <col min="5" max="5" width="19.42578125" style="25" customWidth="1"/>
    <col min="6" max="6" width="10.5703125" style="26" customWidth="1"/>
    <col min="7" max="7" width="11.7109375" style="26" customWidth="1"/>
    <col min="8" max="8" width="9.140625" style="25"/>
    <col min="9" max="9" width="22.7109375" style="25" customWidth="1"/>
    <col min="10" max="16384" width="9.140625" style="25"/>
  </cols>
  <sheetData>
    <row r="1" spans="1:9">
      <c r="A1" s="102" t="s">
        <v>34</v>
      </c>
      <c r="B1" s="102"/>
      <c r="C1" s="102"/>
      <c r="D1" s="44"/>
      <c r="E1" s="44"/>
    </row>
    <row r="2" spans="1:9" ht="39.75" customHeight="1">
      <c r="A2" s="3" t="s">
        <v>35</v>
      </c>
      <c r="B2" s="4" t="s">
        <v>36</v>
      </c>
      <c r="C2" s="4" t="s">
        <v>37</v>
      </c>
      <c r="D2" s="4" t="s">
        <v>24</v>
      </c>
      <c r="E2" s="4" t="s">
        <v>38</v>
      </c>
      <c r="F2" s="34" t="s">
        <v>52</v>
      </c>
      <c r="G2" s="34" t="s">
        <v>53</v>
      </c>
      <c r="H2" s="4" t="s">
        <v>62</v>
      </c>
      <c r="I2" s="51" t="s">
        <v>41</v>
      </c>
    </row>
    <row r="3" spans="1:9" ht="30.75">
      <c r="A3" s="5" t="s">
        <v>63</v>
      </c>
      <c r="B3" s="6" t="s">
        <v>55</v>
      </c>
      <c r="C3" s="6" t="s">
        <v>56</v>
      </c>
      <c r="D3" s="16" t="str">
        <f>'Tipo Documento'!D3</f>
        <v>CC</v>
      </c>
      <c r="E3" s="6">
        <v>9498129834</v>
      </c>
      <c r="F3" s="30">
        <v>45607</v>
      </c>
      <c r="G3" s="30">
        <v>45782</v>
      </c>
      <c r="H3" s="53" t="str">
        <f>Estado!B6</f>
        <v>Activo</v>
      </c>
      <c r="I3" s="49" t="str">
        <f>_xlfn.CONCAT(D3,"-",E3)</f>
        <v>CC-9498129834</v>
      </c>
    </row>
    <row r="4" spans="1:9" ht="30.75">
      <c r="A4" s="19" t="s">
        <v>64</v>
      </c>
      <c r="B4" s="20" t="s">
        <v>58</v>
      </c>
      <c r="C4" s="20" t="s">
        <v>59</v>
      </c>
      <c r="D4" s="23" t="str">
        <f>'Tipo Documento'!D3</f>
        <v>CC</v>
      </c>
      <c r="E4" s="20">
        <v>9132891283</v>
      </c>
      <c r="F4" s="36">
        <v>45323</v>
      </c>
      <c r="G4" s="36">
        <v>45483</v>
      </c>
      <c r="H4" s="54" t="str">
        <f>Estado!B7</f>
        <v>Inactivo</v>
      </c>
      <c r="I4" s="50" t="str">
        <f>_xlfn.CONCAT(D4,"-",E4)</f>
        <v>CC-9132891283</v>
      </c>
    </row>
    <row r="5" spans="1:9">
      <c r="H5" s="29"/>
    </row>
  </sheetData>
  <mergeCells count="1">
    <mergeCell ref="A1:C1"/>
  </mergeCells>
  <hyperlinks>
    <hyperlink ref="A1" location="'Objetos de dominio'!A1" display="&lt;- Volver al inicio" xr:uid="{74F3817F-0464-41DB-BDE1-41D48674F360}"/>
    <hyperlink ref="H3" location="'Estado'!D6" display="=Estado!B6" xr:uid="{966C01A8-A43D-4CF9-8798-6E68BC3F7268}"/>
    <hyperlink ref="H4" location="'Estado'!D7" display="=Estado!B7" xr:uid="{92A3BD47-AA2D-4A92-8F08-690FB90E0A2B}"/>
    <hyperlink ref="D3" location="'Tipo Documento'!D3" display="='Tipo Documento'!D3" xr:uid="{B05A0F77-9ED2-4A2D-9B6B-6B3863135E63}"/>
    <hyperlink ref="D4" location="'Tipo Documento'!D3" display="='Tipo Documento'!D3" xr:uid="{091B4750-5AD2-4558-82A3-DC2677D213A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85DB-491D-4557-8236-980A2EB9C84B}">
  <dimension ref="A1:D5"/>
  <sheetViews>
    <sheetView workbookViewId="0">
      <selection activeCell="R17" sqref="R17"/>
    </sheetView>
  </sheetViews>
  <sheetFormatPr defaultColWidth="9.140625" defaultRowHeight="15"/>
  <cols>
    <col min="1" max="1" width="22.85546875" style="2" customWidth="1"/>
    <col min="2" max="3" width="15" style="2" customWidth="1"/>
    <col min="4" max="4" width="22.5703125" style="2" customWidth="1"/>
    <col min="5" max="6" width="9.140625" style="2"/>
    <col min="7" max="7" width="13.42578125" style="2" customWidth="1"/>
    <col min="8" max="16384" width="9.140625" style="2"/>
  </cols>
  <sheetData>
    <row r="1" spans="1:4">
      <c r="A1" s="102" t="s">
        <v>34</v>
      </c>
      <c r="B1" s="102"/>
      <c r="C1" s="102"/>
    </row>
    <row r="2" spans="1:4">
      <c r="A2" s="3" t="s">
        <v>35</v>
      </c>
      <c r="B2" s="4" t="s">
        <v>3</v>
      </c>
      <c r="C2" s="4" t="s">
        <v>26</v>
      </c>
      <c r="D2" s="51" t="s">
        <v>41</v>
      </c>
    </row>
    <row r="3" spans="1:4" ht="38.25" customHeight="1">
      <c r="A3" s="5" t="s">
        <v>42</v>
      </c>
      <c r="B3" s="16" t="str">
        <f>Estudiante!J3</f>
        <v>CC-132103265</v>
      </c>
      <c r="C3" s="16" t="str">
        <f>Programa!F3</f>
        <v>Ingeniería de Sistemas</v>
      </c>
      <c r="D3" s="49" t="str">
        <f>_xlfn.CONCAT(B3,"-",C3)</f>
        <v>CC-132103265-Ingeniería de Sistemas</v>
      </c>
    </row>
    <row r="4" spans="1:4" ht="30.75">
      <c r="A4" s="5" t="s">
        <v>45</v>
      </c>
      <c r="B4" s="16" t="str">
        <f>Estudiante!J4</f>
        <v>TI-93092010</v>
      </c>
      <c r="C4" s="16" t="str">
        <f>Programa!F4</f>
        <v>Derecho</v>
      </c>
      <c r="D4" s="49" t="str">
        <f>_xlfn.CONCAT(B4,"-",C4)</f>
        <v>TI-93092010-Derecho</v>
      </c>
    </row>
    <row r="5" spans="1:4" ht="30.75">
      <c r="A5" s="19" t="s">
        <v>48</v>
      </c>
      <c r="B5" s="23" t="str">
        <f>Estudiante!J5</f>
        <v>CE-1043759354</v>
      </c>
      <c r="C5" s="23" t="str">
        <f>Programa!F5</f>
        <v>Trabajo Social</v>
      </c>
      <c r="D5" s="50" t="str">
        <f>_xlfn.CONCAT(B5,"-",C5)</f>
        <v>CE-1043759354-Trabajo Social</v>
      </c>
    </row>
  </sheetData>
  <mergeCells count="1">
    <mergeCell ref="A1:C1"/>
  </mergeCells>
  <hyperlinks>
    <hyperlink ref="A1" location="'Objetos de dominio'!A1" display="&lt;- Volver al inicio" xr:uid="{705AE07D-8703-44D1-B83C-7CA49C5C0D82}"/>
    <hyperlink ref="B3" location="'Estudiante'!A3" display="=CONCAT(Estudiante!B3,&quot; &quot;,Estudiante!C3)" xr:uid="{70697D4E-691C-474B-A0DC-FB2FED1A673C}"/>
    <hyperlink ref="C3" location="'Programa'!D3" display="=Programa!D3" xr:uid="{6E285381-C672-4FDB-A2CE-B0D7D9F273F0}"/>
    <hyperlink ref="B4:B5" location="'Estudiante'!A3" display="=CONCAT(Estudiante!B3,&quot; &quot;,Estudiante!C3)" xr:uid="{976F7D79-F994-4743-9B6C-E4F991BD7CA8}"/>
    <hyperlink ref="C4:C5" location="'Programa'!A3" display="=Programa!B3" xr:uid="{F10A275B-E724-463D-A60C-EAF0F21E702D}"/>
    <hyperlink ref="C4" location="'Programa'!D4" display="=Programa!D4" xr:uid="{64D7D475-C4FA-4791-B9C6-B6540FD7FA54}"/>
    <hyperlink ref="C5" location="'Programa'!D5" display="=Programa!D5" xr:uid="{305F0C5A-63E2-4FE5-918F-3C27FA0EEEE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CE66-B26F-4350-B91D-C3C3DDE8A752}">
  <dimension ref="A1:D5"/>
  <sheetViews>
    <sheetView workbookViewId="0">
      <selection activeCell="D15" sqref="D15"/>
    </sheetView>
  </sheetViews>
  <sheetFormatPr defaultColWidth="9.140625" defaultRowHeight="15"/>
  <cols>
    <col min="1" max="1" width="22.85546875" style="2" customWidth="1"/>
    <col min="2" max="3" width="15" style="2" customWidth="1"/>
    <col min="4" max="4" width="22.5703125" style="2" customWidth="1"/>
    <col min="5" max="6" width="9.140625" style="2"/>
    <col min="7" max="7" width="13.42578125" style="2" customWidth="1"/>
    <col min="8" max="16384" width="9.140625" style="2"/>
  </cols>
  <sheetData>
    <row r="1" spans="1:4">
      <c r="A1" s="102" t="s">
        <v>34</v>
      </c>
      <c r="B1" s="102"/>
      <c r="C1" s="102"/>
    </row>
    <row r="2" spans="1:4">
      <c r="A2" s="3" t="s">
        <v>35</v>
      </c>
      <c r="B2" s="4" t="s">
        <v>6</v>
      </c>
      <c r="C2" s="4" t="s">
        <v>28</v>
      </c>
      <c r="D2" s="51" t="s">
        <v>41</v>
      </c>
    </row>
    <row r="3" spans="1:4" ht="38.25" customHeight="1">
      <c r="A3" s="5" t="s">
        <v>65</v>
      </c>
      <c r="B3" s="16" t="str">
        <f>Entrenador!J3</f>
        <v>CC-651819461</v>
      </c>
      <c r="C3" s="16" t="str">
        <f>Facultad!C3</f>
        <v>Ciencias Exactas</v>
      </c>
      <c r="D3" s="49" t="str">
        <f>_xlfn.CONCAT(B3,"-",C3)</f>
        <v>CC-651819461-Ciencias Exactas</v>
      </c>
    </row>
    <row r="4" spans="1:4" ht="30.75">
      <c r="A4" s="5" t="s">
        <v>66</v>
      </c>
      <c r="B4" s="16" t="str">
        <f>Entrenador!J4</f>
        <v>CC-982613454</v>
      </c>
      <c r="C4" s="16" t="str">
        <f>Facultad!C4</f>
        <v>Derecho</v>
      </c>
      <c r="D4" s="49" t="str">
        <f>_xlfn.CONCAT(B4,"-",C4)</f>
        <v>CC-982613454-Derecho</v>
      </c>
    </row>
    <row r="5" spans="1:4" ht="45.75">
      <c r="A5" s="19" t="s">
        <v>67</v>
      </c>
      <c r="B5" s="23" t="str">
        <f>Entrenador!J5</f>
        <v>CC-320351680</v>
      </c>
      <c r="C5" s="23" t="str">
        <f>Facultad!C5</f>
        <v>Ciencias Sociales</v>
      </c>
      <c r="D5" s="50" t="str">
        <f>_xlfn.CONCAT(B5,"-",C5)</f>
        <v>CC-320351680-Ciencias Sociales</v>
      </c>
    </row>
  </sheetData>
  <mergeCells count="1">
    <mergeCell ref="A1:C1"/>
  </mergeCells>
  <hyperlinks>
    <hyperlink ref="A1" location="'Objetos de dominio'!A1" display="&lt;- Volver al inicio" xr:uid="{7FC77007-4F9D-4FD7-8B14-D843AE534E24}"/>
    <hyperlink ref="B3" location="'Estudiante'!A3" display="=CONCAT(Estudiante!B3,&quot; &quot;,Estudiante!C3)" xr:uid="{34D53DE2-272F-46A1-B364-7123E8237573}"/>
    <hyperlink ref="C3" location="'Programa'!D3" display="=Programa!D3" xr:uid="{2080BDED-8AD8-4CAE-B9D5-FDAED34A9288}"/>
    <hyperlink ref="B4:B5" location="'Estudiante'!A3" display="=CONCAT(Estudiante!B3,&quot; &quot;,Estudiante!C3)" xr:uid="{90437C82-52DF-43F4-9894-62EED4F29E9C}"/>
    <hyperlink ref="C4:C5" location="'Programa'!D3" display="=Programa!D3" xr:uid="{858CD220-2A19-46B0-81A2-76420A9C1BA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A681-6CA6-4BE8-AD27-F572743B18D3}">
  <dimension ref="A1:D5"/>
  <sheetViews>
    <sheetView workbookViewId="0">
      <selection sqref="A1:C1"/>
    </sheetView>
  </sheetViews>
  <sheetFormatPr defaultColWidth="9.140625" defaultRowHeight="15"/>
  <cols>
    <col min="1" max="1" width="22.85546875" style="2" customWidth="1"/>
    <col min="2" max="3" width="15" style="2" customWidth="1"/>
    <col min="4" max="4" width="22.5703125" style="2" customWidth="1"/>
    <col min="5" max="6" width="9.140625" style="2"/>
    <col min="7" max="7" width="13.42578125" style="2" customWidth="1"/>
    <col min="8" max="16384" width="9.140625" style="2"/>
  </cols>
  <sheetData>
    <row r="1" spans="1:4">
      <c r="A1" s="102" t="s">
        <v>34</v>
      </c>
      <c r="B1" s="102"/>
      <c r="C1" s="102"/>
    </row>
    <row r="2" spans="1:4" ht="30.75">
      <c r="A2" s="3" t="s">
        <v>35</v>
      </c>
      <c r="B2" s="4" t="s">
        <v>6</v>
      </c>
      <c r="C2" s="4" t="s">
        <v>16</v>
      </c>
      <c r="D2" s="51" t="s">
        <v>41</v>
      </c>
    </row>
    <row r="3" spans="1:4" ht="38.25" customHeight="1">
      <c r="A3" s="5" t="s">
        <v>42</v>
      </c>
      <c r="B3" s="16" t="str">
        <f>Entrenador!J3</f>
        <v>CC-651819461</v>
      </c>
      <c r="C3" s="16" t="str">
        <f>'Entrenamiento Cognitivo'!F3</f>
        <v>CC-132103265</v>
      </c>
      <c r="D3" s="49" t="str">
        <f>_xlfn.CONCAT(B3,"-",C3)</f>
        <v>CC-651819461-CC-132103265</v>
      </c>
    </row>
    <row r="4" spans="1:4" ht="30.75">
      <c r="A4" s="5" t="s">
        <v>45</v>
      </c>
      <c r="B4" s="16" t="str">
        <f>Entrenador!J4</f>
        <v>CC-982613454</v>
      </c>
      <c r="C4" s="16" t="str">
        <f>'Entrenamiento Cognitivo'!F4</f>
        <v>TI-93092010</v>
      </c>
      <c r="D4" s="49" t="str">
        <f>_xlfn.CONCAT(B4,"-",C4)</f>
        <v>CC-982613454-TI-93092010</v>
      </c>
    </row>
    <row r="5" spans="1:4" ht="30.75">
      <c r="A5" s="19" t="s">
        <v>48</v>
      </c>
      <c r="B5" s="23" t="str">
        <f>Entrenador!J5</f>
        <v>CC-320351680</v>
      </c>
      <c r="C5" s="23" t="str">
        <f>'Entrenamiento Cognitivo'!F5</f>
        <v>CE-1043759354</v>
      </c>
      <c r="D5" s="50" t="str">
        <f>_xlfn.CONCAT(B5,"-",C5)</f>
        <v>CC-320351680-CE-1043759354</v>
      </c>
    </row>
  </sheetData>
  <mergeCells count="1">
    <mergeCell ref="A1:C1"/>
  </mergeCells>
  <hyperlinks>
    <hyperlink ref="A1" location="'Objetos de dominio'!A1" display="&lt;- Volver al inicio" xr:uid="{E3F91B5E-2BB8-4190-A2B1-CB5744002CE7}"/>
    <hyperlink ref="B3" location="'Estudiante'!A3" display="=CONCAT(Estudiante!B3,&quot; &quot;,Estudiante!C3)" xr:uid="{575B4BAE-A5B9-43DA-9910-0408AD1A7C93}"/>
    <hyperlink ref="C3" location="'Programa'!D3" display="=Programa!D3" xr:uid="{B7D4A3EF-D772-4589-A661-0B430C1C52A1}"/>
    <hyperlink ref="B4:B5" location="'Estudiante'!A3" display="=CONCAT(Estudiante!B3,&quot; &quot;,Estudiante!C3)" xr:uid="{35112C03-FF9E-49B8-A3C7-89CE17F3DB88}"/>
    <hyperlink ref="C4:C5" location="'Programa'!D3" display="=Programa!D3" xr:uid="{BB7BACFD-C5A2-4A02-B726-97199268446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0F984-4766-4A6D-90C3-828B80C6543A}">
  <dimension ref="A1:H11"/>
  <sheetViews>
    <sheetView workbookViewId="0">
      <selection activeCell="F15" sqref="F15"/>
    </sheetView>
  </sheetViews>
  <sheetFormatPr defaultColWidth="9.140625" defaultRowHeight="15"/>
  <cols>
    <col min="1" max="1" width="28.5703125" customWidth="1"/>
    <col min="2" max="2" width="16.7109375" customWidth="1"/>
    <col min="3" max="3" width="11.5703125" style="17" bestFit="1" customWidth="1"/>
    <col min="4" max="4" width="11.42578125" style="17" bestFit="1" customWidth="1"/>
    <col min="5" max="5" width="12.85546875" customWidth="1"/>
    <col min="6" max="7" width="25" style="13" customWidth="1"/>
    <col min="8" max="8" width="11.42578125" style="17" bestFit="1" customWidth="1"/>
  </cols>
  <sheetData>
    <row r="1" spans="1:7">
      <c r="A1" s="103" t="s">
        <v>34</v>
      </c>
      <c r="B1" s="103"/>
      <c r="C1" s="103"/>
      <c r="D1" s="103"/>
      <c r="E1" s="103"/>
      <c r="F1" s="103"/>
      <c r="G1" s="56"/>
    </row>
    <row r="2" spans="1:7">
      <c r="A2" s="37" t="s">
        <v>35</v>
      </c>
      <c r="B2" s="4" t="s">
        <v>3</v>
      </c>
      <c r="C2" s="75" t="s">
        <v>52</v>
      </c>
      <c r="D2" s="75" t="s">
        <v>53</v>
      </c>
      <c r="E2" s="76" t="s">
        <v>30</v>
      </c>
      <c r="F2" s="52" t="s">
        <v>41</v>
      </c>
      <c r="G2" s="58"/>
    </row>
    <row r="3" spans="1:7" ht="42.75" customHeight="1">
      <c r="A3" s="5" t="s">
        <v>68</v>
      </c>
      <c r="B3" s="16" t="str">
        <f>_xlfn.CONCAT(Estudiante!J3)</f>
        <v>CC-132103265</v>
      </c>
      <c r="C3" s="64">
        <v>45574</v>
      </c>
      <c r="D3" s="64">
        <v>45972</v>
      </c>
      <c r="E3" s="53" t="str">
        <f>Estado!D4</f>
        <v>En Progreso</v>
      </c>
      <c r="F3" s="55" t="str">
        <f>_xlfn.CONCAT(B3)</f>
        <v>CC-132103265</v>
      </c>
      <c r="G3" s="58"/>
    </row>
    <row r="4" spans="1:7" ht="30.75">
      <c r="A4" s="5" t="s">
        <v>69</v>
      </c>
      <c r="B4" s="16" t="str">
        <f>_xlfn.CONCAT(Estudiante!J4)</f>
        <v>TI-93092010</v>
      </c>
      <c r="C4" s="64">
        <v>45574</v>
      </c>
      <c r="D4" s="64">
        <v>45607</v>
      </c>
      <c r="E4" s="53" t="str">
        <f>Estado!D3</f>
        <v>Finalizado</v>
      </c>
      <c r="F4" s="55" t="str">
        <f t="shared" ref="F4:F5" si="0">_xlfn.CONCAT(B4)</f>
        <v>TI-93092010</v>
      </c>
      <c r="G4" s="58"/>
    </row>
    <row r="5" spans="1:7" ht="30.75">
      <c r="A5" s="19" t="s">
        <v>70</v>
      </c>
      <c r="B5" s="23" t="str">
        <f>_xlfn.CONCAT(Estudiante!J5)</f>
        <v>CE-1043759354</v>
      </c>
      <c r="C5" s="65">
        <v>45574</v>
      </c>
      <c r="D5" s="65">
        <v>45966</v>
      </c>
      <c r="E5" s="54" t="str">
        <f>Estado!D5</f>
        <v>Abandonado</v>
      </c>
      <c r="F5" s="61" t="str">
        <f t="shared" si="0"/>
        <v>CE-1043759354</v>
      </c>
      <c r="G5" s="58"/>
    </row>
    <row r="6" spans="1:7">
      <c r="G6" s="58"/>
    </row>
    <row r="7" spans="1:7">
      <c r="G7" s="77"/>
    </row>
    <row r="8" spans="1:7">
      <c r="G8" s="58"/>
    </row>
    <row r="9" spans="1:7">
      <c r="G9" s="58"/>
    </row>
    <row r="10" spans="1:7">
      <c r="G10" s="58"/>
    </row>
    <row r="11" spans="1:7">
      <c r="G11" s="58"/>
    </row>
  </sheetData>
  <mergeCells count="1">
    <mergeCell ref="A1:F1"/>
  </mergeCells>
  <hyperlinks>
    <hyperlink ref="A1:D1" location="'Objetos de Dominio'!A5" display="&lt;- Volver al inicio" xr:uid="{3B4DB048-E3DD-48DB-9681-737588576C96}"/>
    <hyperlink ref="A1" location="'Objetos de dominio'!A1" display="&lt;- Volver al inicio" xr:uid="{C3301885-6B50-4AF6-8650-AEBE80285FD7}"/>
    <hyperlink ref="B3" location="'Estudiante'!A3" display="=CONCAT(Estudiante!I3)" xr:uid="{0399FDF5-3E2D-4E2D-A67A-7B6402E0D332}"/>
    <hyperlink ref="E3" location="'Estado'!D4" display="En Progreso" xr:uid="{09566A07-5DDE-4F4B-A490-BA0185B638F4}"/>
    <hyperlink ref="E4:E5" location="'Estado'!D4" display="En Progreso" xr:uid="{69A67359-AD26-4199-938A-8D140F3D333B}"/>
    <hyperlink ref="B4:B5" location="'Estudiante por Programa'!A3" display="=Estudiante!H3" xr:uid="{8F6209D6-709D-45CA-BB79-85D9A197E99F}"/>
    <hyperlink ref="B4" location="'Estudiante'!A4" display="=CONCAT(Estudiante!I4)" xr:uid="{C1BBE152-6CE1-4065-90B2-5C1B72CA5491}"/>
    <hyperlink ref="B5" location="'Estudiante'!A5" display="=CONCAT(Estudiante!I5)" xr:uid="{C509D25D-F0CB-4449-AC24-A79A9038CAA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1E4C-E2A8-41F0-B624-E86FA3E25DA9}">
  <dimension ref="A1:H6"/>
  <sheetViews>
    <sheetView workbookViewId="0">
      <selection activeCell="E3" sqref="E3"/>
    </sheetView>
  </sheetViews>
  <sheetFormatPr defaultRowHeight="15"/>
  <cols>
    <col min="1" max="2" width="25.28515625" customWidth="1"/>
    <col min="3" max="4" width="27.42578125" customWidth="1"/>
    <col min="5" max="5" width="29.5703125" customWidth="1"/>
    <col min="6" max="6" width="25.5703125" customWidth="1"/>
    <col min="7" max="7" width="26.42578125" style="17" customWidth="1"/>
    <col min="8" max="8" width="11.42578125" style="17" bestFit="1" customWidth="1"/>
    <col min="10" max="10" width="26.7109375" bestFit="1" customWidth="1"/>
    <col min="12" max="12" width="18.28515625" customWidth="1"/>
    <col min="14" max="14" width="26.42578125" bestFit="1" customWidth="1"/>
    <col min="18" max="18" width="26.42578125" bestFit="1" customWidth="1"/>
    <col min="22" max="22" width="26.42578125" bestFit="1" customWidth="1"/>
  </cols>
  <sheetData>
    <row r="1" spans="1:7">
      <c r="A1" s="103" t="s">
        <v>34</v>
      </c>
      <c r="B1" s="103"/>
      <c r="C1" s="103"/>
      <c r="D1" s="103"/>
      <c r="E1" s="56"/>
      <c r="F1" s="56"/>
    </row>
    <row r="2" spans="1:7">
      <c r="A2" s="83" t="s">
        <v>35</v>
      </c>
      <c r="B2" s="82" t="s">
        <v>71</v>
      </c>
      <c r="C2" s="84" t="s">
        <v>72</v>
      </c>
      <c r="D2" s="84" t="s">
        <v>73</v>
      </c>
      <c r="E2" s="82" t="s">
        <v>74</v>
      </c>
      <c r="F2" s="84" t="s">
        <v>75</v>
      </c>
      <c r="G2" s="85" t="s">
        <v>76</v>
      </c>
    </row>
    <row r="3" spans="1:7" ht="244.5">
      <c r="A3" s="5" t="s">
        <v>77</v>
      </c>
      <c r="B3" s="16" t="str">
        <f>'Entrenamiento Cognitivo'!$F$3</f>
        <v>CC-132103265</v>
      </c>
      <c r="C3" s="16" t="str">
        <f>'Variable Cognitiva'!E6</f>
        <v xml:space="preserve">Control inhibitorio </v>
      </c>
      <c r="D3" s="28" t="s">
        <v>78</v>
      </c>
      <c r="E3" s="6" t="s">
        <v>79</v>
      </c>
      <c r="F3" s="53" t="str">
        <f>Estado!D4</f>
        <v>En Progreso</v>
      </c>
      <c r="G3" s="55" t="str">
        <f>_xlfn.CONCAT(B3,"-",C3)</f>
        <v xml:space="preserve">CC-132103265-Control inhibitorio </v>
      </c>
    </row>
    <row r="4" spans="1:7" ht="121.5">
      <c r="A4" s="5" t="s">
        <v>80</v>
      </c>
      <c r="B4" s="16" t="str">
        <f>'Entrenamiento Cognitivo'!$F$3</f>
        <v>CC-132103265</v>
      </c>
      <c r="C4" s="16" t="str">
        <f>'Variable Cognitiva'!E4</f>
        <v>Lectura Critica</v>
      </c>
      <c r="D4" s="80" t="s">
        <v>81</v>
      </c>
      <c r="E4" s="6" t="s">
        <v>82</v>
      </c>
      <c r="F4" s="53" t="str">
        <f>Estado!D4</f>
        <v>En Progreso</v>
      </c>
      <c r="G4" s="55" t="str">
        <f t="shared" ref="G4:G5" si="0">_xlfn.CONCAT(B4,"-",C4)</f>
        <v>CC-132103265-Lectura Critica</v>
      </c>
    </row>
    <row r="5" spans="1:7" ht="137.25">
      <c r="A5" s="19" t="s">
        <v>70</v>
      </c>
      <c r="B5" s="23" t="str">
        <f>'Entrenamiento Cognitivo'!$F$3</f>
        <v>CC-132103265</v>
      </c>
      <c r="C5" s="23" t="str">
        <f>'Variable Cognitiva'!E5</f>
        <v>Razonamiento Cuantitativo</v>
      </c>
      <c r="D5" s="35" t="s">
        <v>83</v>
      </c>
      <c r="E5" s="20" t="s">
        <v>84</v>
      </c>
      <c r="F5" s="54" t="str">
        <f>Estado!D5</f>
        <v>Abandonado</v>
      </c>
      <c r="G5" s="61" t="str">
        <f t="shared" si="0"/>
        <v>CC-132103265-Razonamiento Cuantitativo</v>
      </c>
    </row>
    <row r="6" spans="1:7">
      <c r="E6" s="81"/>
    </row>
  </sheetData>
  <mergeCells count="1">
    <mergeCell ref="A1:D1"/>
  </mergeCells>
  <hyperlinks>
    <hyperlink ref="A1" location="'Objetos de dominio'!A1" display="&lt;- Volver al inicio" xr:uid="{DE087AB0-C9CF-4AE0-AFA6-1DD626F37B3C}"/>
    <hyperlink ref="F3" location="'Estado'!D4" display="En Progreso" xr:uid="{F4F8DD52-3858-4B2A-9C6D-9A7BAA9EB79D}"/>
    <hyperlink ref="C3" location="'Variable Cognitiva'!E3" display="='Variable Cognitiva'!E3" xr:uid="{8F3AE1F3-DAD1-4CD1-9A49-9775DFEE55BF}"/>
    <hyperlink ref="C4" location="'Variable Cognitiva'!E6" display="='Variable Cognitiva'!E6" xr:uid="{222965EA-69A4-4066-9979-AB68EE729A20}"/>
    <hyperlink ref="C5" location="'Variable Cognitiva'!E5" display="='Variable Cognitiva'!E5" xr:uid="{6FEFDE1F-A1F1-4B2B-82C4-36CBA944C946}"/>
    <hyperlink ref="B3" location="'Entrenamiento cognitivo'!A3" display="='Entrenamiento Cognitivo'!G3" xr:uid="{EC8F6E12-1D16-481E-AC02-66BFA55F26B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7746-D9AB-4D39-8332-B81CB4ABE49E}">
  <dimension ref="A1:K5"/>
  <sheetViews>
    <sheetView workbookViewId="0">
      <selection activeCell="H3" sqref="H3"/>
    </sheetView>
  </sheetViews>
  <sheetFormatPr defaultRowHeight="15"/>
  <cols>
    <col min="1" max="2" width="28.5703125" customWidth="1"/>
    <col min="3" max="3" width="16.5703125" bestFit="1" customWidth="1"/>
    <col min="4" max="4" width="16.7109375" bestFit="1" customWidth="1"/>
    <col min="5" max="5" width="16.7109375" style="17" bestFit="1" customWidth="1"/>
    <col min="6" max="6" width="11.5703125" style="17" customWidth="1"/>
    <col min="7" max="7" width="11.42578125" style="17" bestFit="1" customWidth="1"/>
    <col min="8" max="8" width="17.42578125" style="17" customWidth="1"/>
    <col min="9" max="9" width="19.42578125" customWidth="1"/>
    <col min="10" max="10" width="25" style="13" customWidth="1"/>
    <col min="11" max="11" width="11.42578125" style="17" bestFit="1" customWidth="1"/>
  </cols>
  <sheetData>
    <row r="1" spans="1:11">
      <c r="A1" s="103" t="s">
        <v>34</v>
      </c>
      <c r="B1" s="103"/>
      <c r="C1" s="103"/>
      <c r="D1" s="103"/>
      <c r="E1" s="103"/>
      <c r="F1" s="103"/>
      <c r="G1" s="103"/>
      <c r="H1" s="56"/>
    </row>
    <row r="2" spans="1:11" ht="30.75">
      <c r="A2" s="37" t="s">
        <v>35</v>
      </c>
      <c r="B2" s="38" t="s">
        <v>20</v>
      </c>
      <c r="C2" s="4" t="s">
        <v>85</v>
      </c>
      <c r="D2" s="4" t="s">
        <v>52</v>
      </c>
      <c r="E2" s="75" t="s">
        <v>53</v>
      </c>
      <c r="F2" s="38" t="s">
        <v>86</v>
      </c>
      <c r="G2" s="75" t="s">
        <v>30</v>
      </c>
      <c r="H2" s="52" t="s">
        <v>87</v>
      </c>
      <c r="I2" s="17"/>
      <c r="J2" s="17"/>
      <c r="K2" s="33"/>
    </row>
    <row r="3" spans="1:11" ht="61.5" customHeight="1">
      <c r="A3" s="5" t="s">
        <v>68</v>
      </c>
      <c r="B3" s="6" t="str">
        <f>'Asignación Variable Coginitiva'!$A$3</f>
        <v>04269e32-c3e0-4523-ba89-75b9f65f06d9</v>
      </c>
      <c r="C3" s="28">
        <v>1</v>
      </c>
      <c r="D3" s="43" t="s">
        <v>88</v>
      </c>
      <c r="E3" s="45" t="s">
        <v>89</v>
      </c>
      <c r="F3" s="6" t="s">
        <v>90</v>
      </c>
      <c r="G3" s="78" t="str">
        <f>Estado!$D$3</f>
        <v>Finalizado</v>
      </c>
      <c r="H3" s="49" t="str">
        <f>_xlfn.CONCAT(B3,"-",C3)</f>
        <v>04269e32-c3e0-4523-ba89-75b9f65f06d9-1</v>
      </c>
      <c r="I3" s="17"/>
      <c r="J3" s="17"/>
    </row>
    <row r="4" spans="1:11" ht="60.75">
      <c r="A4" s="5" t="s">
        <v>69</v>
      </c>
      <c r="B4" s="6" t="str">
        <f>'Asignación Variable Coginitiva'!$A$3</f>
        <v>04269e32-c3e0-4523-ba89-75b9f65f06d9</v>
      </c>
      <c r="C4" s="28">
        <v>2</v>
      </c>
      <c r="D4" s="43" t="s">
        <v>91</v>
      </c>
      <c r="E4" s="43" t="s">
        <v>92</v>
      </c>
      <c r="F4" s="6" t="s">
        <v>90</v>
      </c>
      <c r="G4" s="78" t="str">
        <f>Estado!$D$3</f>
        <v>Finalizado</v>
      </c>
      <c r="H4" s="49" t="str">
        <f t="shared" ref="H4:H5" si="0">_xlfn.CONCAT(B4,"-",C4)</f>
        <v>04269e32-c3e0-4523-ba89-75b9f65f06d9-2</v>
      </c>
      <c r="I4" s="17"/>
      <c r="J4" s="17"/>
    </row>
    <row r="5" spans="1:11" ht="45.75">
      <c r="A5" s="19" t="s">
        <v>70</v>
      </c>
      <c r="B5" s="20" t="str">
        <f>'Asignación Variable Coginitiva'!A5</f>
        <v>f8190410-f4f6-4e40-8eb5-51d196c69714</v>
      </c>
      <c r="C5" s="35">
        <v>1</v>
      </c>
      <c r="D5" s="46" t="s">
        <v>93</v>
      </c>
      <c r="E5" s="46" t="s">
        <v>94</v>
      </c>
      <c r="F5" s="20" t="s">
        <v>90</v>
      </c>
      <c r="G5" s="79" t="str">
        <f>Estado!D5</f>
        <v>Abandonado</v>
      </c>
      <c r="H5" s="50" t="str">
        <f t="shared" si="0"/>
        <v>f8190410-f4f6-4e40-8eb5-51d196c69714-1</v>
      </c>
      <c r="I5" s="17"/>
      <c r="J5" s="17"/>
    </row>
  </sheetData>
  <mergeCells count="1">
    <mergeCell ref="A1:G1"/>
  </mergeCells>
  <hyperlinks>
    <hyperlink ref="A1:G1" location="'Objetos de Dominio'!A5" display="&lt;- Volver al inicio" xr:uid="{C086B776-5BC1-45AC-B7B1-227F9884D8DA}"/>
    <hyperlink ref="A1" location="'Objetos de dominio'!A1" display="&lt;- Volver al inicio" xr:uid="{5FDA1D77-7BDF-42D7-AE22-07EB810B308B}"/>
    <hyperlink ref="G4" location="'Estado'!B3" display="=Estado!D3" xr:uid="{97461D82-0F86-4A30-B9C9-44496A531346}"/>
    <hyperlink ref="G5" location="'Estado'!D5" display="=Estado!D5" xr:uid="{6F42CFA5-FDC3-4309-A2D4-B4D1F529F371}"/>
    <hyperlink ref="G3" location="'Estado'!B3" display="=Estado!D3" xr:uid="{ABD938F1-583B-4CD6-8820-7A2E3E9D41C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660B-F71B-4AA7-B207-C9C40D3944FD}">
  <dimension ref="A1:F6"/>
  <sheetViews>
    <sheetView workbookViewId="0">
      <selection activeCell="B2" sqref="B2"/>
    </sheetView>
  </sheetViews>
  <sheetFormatPr defaultColWidth="9.140625" defaultRowHeight="15"/>
  <cols>
    <col min="1" max="4" width="25.28515625" style="25" customWidth="1"/>
    <col min="5" max="5" width="22.28515625" style="25" customWidth="1"/>
    <col min="6" max="6" width="18.28515625" style="25" customWidth="1"/>
    <col min="7" max="16384" width="9.140625" style="25"/>
  </cols>
  <sheetData>
    <row r="1" spans="1:6">
      <c r="A1" s="29" t="s">
        <v>34</v>
      </c>
      <c r="B1" s="29"/>
      <c r="C1" s="29"/>
      <c r="D1" s="29"/>
      <c r="E1" s="29"/>
    </row>
    <row r="2" spans="1:6">
      <c r="A2" s="3" t="s">
        <v>35</v>
      </c>
      <c r="B2" s="4" t="s">
        <v>0</v>
      </c>
      <c r="C2" s="4" t="s">
        <v>2</v>
      </c>
      <c r="D2" s="4" t="s">
        <v>95</v>
      </c>
      <c r="E2" s="93" t="s">
        <v>41</v>
      </c>
      <c r="F2" s="51" t="s">
        <v>41</v>
      </c>
    </row>
    <row r="3" spans="1:6" ht="45.75">
      <c r="A3" s="1" t="s">
        <v>96</v>
      </c>
      <c r="B3" s="6" t="s">
        <v>97</v>
      </c>
      <c r="C3" s="39" t="s">
        <v>98</v>
      </c>
      <c r="D3" s="53" t="str">
        <f>Estado!$B$6</f>
        <v>Activo</v>
      </c>
      <c r="E3" s="92" t="str">
        <f>B3</f>
        <v>Procrastinación</v>
      </c>
      <c r="F3" s="49" t="str">
        <f>C3</f>
        <v>Variable Cognitiva de Procrastinación</v>
      </c>
    </row>
    <row r="4" spans="1:6" ht="57" customHeight="1">
      <c r="A4" s="1" t="s">
        <v>70</v>
      </c>
      <c r="B4" s="6" t="s">
        <v>99</v>
      </c>
      <c r="C4" s="39" t="s">
        <v>100</v>
      </c>
      <c r="D4" s="53" t="str">
        <f>Estado!$B$6</f>
        <v>Activo</v>
      </c>
      <c r="E4" s="92" t="str">
        <f t="shared" ref="E4:E6" si="0">B4</f>
        <v>Lectura Critica</v>
      </c>
      <c r="F4" s="49" t="str">
        <f t="shared" ref="F4:F6" si="1">C4</f>
        <v>Variable Cognitiva de Lectura Critica</v>
      </c>
    </row>
    <row r="5" spans="1:6" ht="45.75">
      <c r="A5" s="1" t="s">
        <v>101</v>
      </c>
      <c r="B5" s="6" t="s">
        <v>102</v>
      </c>
      <c r="C5" s="39" t="s">
        <v>103</v>
      </c>
      <c r="D5" s="53" t="str">
        <f>Estado!$B$6</f>
        <v>Activo</v>
      </c>
      <c r="E5" s="92" t="str">
        <f t="shared" si="0"/>
        <v>Razonamiento Cuantitativo</v>
      </c>
      <c r="F5" s="49" t="str">
        <f t="shared" si="1"/>
        <v>Variable Cognitiva de Razonamiento Cuantitativo</v>
      </c>
    </row>
    <row r="6" spans="1:6" ht="40.5" customHeight="1">
      <c r="A6" s="41" t="s">
        <v>104</v>
      </c>
      <c r="B6" s="20" t="s">
        <v>105</v>
      </c>
      <c r="C6" s="40" t="s">
        <v>106</v>
      </c>
      <c r="D6" s="54" t="str">
        <f>Estado!$B$6</f>
        <v>Activo</v>
      </c>
      <c r="E6" s="94" t="str">
        <f t="shared" si="0"/>
        <v xml:space="preserve">Control inhibitorio </v>
      </c>
      <c r="F6" s="50" t="str">
        <f t="shared" si="1"/>
        <v>Variable Cognitiva de Control Inhibitorio</v>
      </c>
    </row>
  </sheetData>
  <hyperlinks>
    <hyperlink ref="A1" location="'Objetos de dominio'!A1" display="&lt;- Volver al inicio" xr:uid="{058AE21C-942B-4280-AE75-DABFAB409D79}"/>
    <hyperlink ref="A1:E1" location="'Objetos de Dominio'!A6" display="&lt;- Volver al inicio" xr:uid="{A38DA804-3B37-4959-B0D8-6741B5ECA56B}"/>
    <hyperlink ref="D3" location="'Estado'!D6" display="=Estado!$B$6" xr:uid="{AD1E90BB-4EAD-4996-ACD4-4B79DAE382B8}"/>
    <hyperlink ref="D4" location="'Estado'!D6" display="=Estado!$B$6" xr:uid="{89A0863B-A3D5-4B29-BBA7-7FB87C3C2D7D}"/>
    <hyperlink ref="D5:D6" location="'Estado'!D6" display="=Estado!$B$6" xr:uid="{F2B03400-D723-4AFC-8A99-C8166A27D80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C81A-E97F-4ACD-AFE3-0D5741E2D45F}">
  <dimension ref="A1:E8"/>
  <sheetViews>
    <sheetView workbookViewId="0">
      <selection activeCell="J24" sqref="J24"/>
    </sheetView>
  </sheetViews>
  <sheetFormatPr defaultRowHeight="15"/>
  <cols>
    <col min="1" max="1" width="26.5703125" customWidth="1"/>
    <col min="2" max="2" width="16.140625" bestFit="1" customWidth="1"/>
    <col min="3" max="3" width="18.42578125" customWidth="1"/>
    <col min="4" max="4" width="18.28515625" bestFit="1" customWidth="1"/>
    <col min="5" max="5" width="20.7109375" bestFit="1" customWidth="1"/>
  </cols>
  <sheetData>
    <row r="1" spans="1:5" ht="18" customHeight="1">
      <c r="A1" s="101" t="s">
        <v>34</v>
      </c>
      <c r="B1" s="101"/>
    </row>
    <row r="2" spans="1:5">
      <c r="A2" s="3" t="s">
        <v>35</v>
      </c>
      <c r="B2" s="4" t="s">
        <v>107</v>
      </c>
      <c r="C2" s="4" t="s">
        <v>0</v>
      </c>
      <c r="D2" s="71" t="s">
        <v>76</v>
      </c>
      <c r="E2" s="68" t="s">
        <v>76</v>
      </c>
    </row>
    <row r="3" spans="1:5" ht="30.75">
      <c r="A3" s="5" t="s">
        <v>108</v>
      </c>
      <c r="B3" s="6" t="s">
        <v>109</v>
      </c>
      <c r="C3" s="6" t="s">
        <v>110</v>
      </c>
      <c r="D3" s="72" t="str">
        <f>B3</f>
        <v>CC</v>
      </c>
      <c r="E3" s="59" t="str">
        <f>C3</f>
        <v>Cedula de Ciudadanía</v>
      </c>
    </row>
    <row r="4" spans="1:5" ht="27.75">
      <c r="A4" s="5" t="s">
        <v>111</v>
      </c>
      <c r="B4" s="6" t="s">
        <v>112</v>
      </c>
      <c r="C4" s="6" t="s">
        <v>113</v>
      </c>
      <c r="D4" s="72" t="str">
        <f t="shared" ref="D4:D5" si="0">B4</f>
        <v>TI</v>
      </c>
      <c r="E4" s="59" t="str">
        <f t="shared" ref="E4:E5" si="1">C4</f>
        <v>Tarjeta de Identidad</v>
      </c>
    </row>
    <row r="5" spans="1:5" ht="30.75">
      <c r="A5" s="19" t="s">
        <v>114</v>
      </c>
      <c r="B5" s="20" t="s">
        <v>51</v>
      </c>
      <c r="C5" s="20" t="s">
        <v>115</v>
      </c>
      <c r="D5" s="73" t="str">
        <f t="shared" si="0"/>
        <v>CE</v>
      </c>
      <c r="E5" s="60" t="str">
        <f t="shared" si="1"/>
        <v>Cedula de Extranjería</v>
      </c>
    </row>
    <row r="6" spans="1:5">
      <c r="A6" s="2"/>
      <c r="B6" s="2"/>
    </row>
    <row r="7" spans="1:5">
      <c r="A7" s="2"/>
      <c r="B7" s="2"/>
    </row>
    <row r="8" spans="1:5">
      <c r="A8" s="2"/>
      <c r="B8" s="2"/>
    </row>
  </sheetData>
  <mergeCells count="1">
    <mergeCell ref="A1:B1"/>
  </mergeCells>
  <hyperlinks>
    <hyperlink ref="A1" location="'Objetos de dominio'!A1" display="&lt;- Volver al inicio" xr:uid="{C295A436-7119-4C43-92C7-69859B46DD74}"/>
    <hyperlink ref="A1:B1" location="'Objetos de Dominio'!A1" display="&lt;- Volver al inicio" xr:uid="{A21F2059-BBBA-4705-82BB-1DA14B8B03B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CA0C-9532-46D0-8B9D-33670AA8390D}">
  <dimension ref="A1:F5"/>
  <sheetViews>
    <sheetView workbookViewId="0">
      <selection activeCell="F16" sqref="F16"/>
    </sheetView>
  </sheetViews>
  <sheetFormatPr defaultRowHeight="15"/>
  <cols>
    <col min="1" max="2" width="25.28515625" customWidth="1"/>
    <col min="3" max="3" width="22.42578125" customWidth="1"/>
    <col min="4" max="5" width="18.28515625" customWidth="1"/>
    <col min="6" max="6" width="25" customWidth="1"/>
  </cols>
  <sheetData>
    <row r="1" spans="1:6" ht="15.75" thickBot="1">
      <c r="A1" s="104" t="s">
        <v>34</v>
      </c>
      <c r="B1" s="104"/>
      <c r="C1" s="104"/>
      <c r="D1" s="104"/>
      <c r="E1" s="57"/>
    </row>
    <row r="2" spans="1:6">
      <c r="A2" s="37" t="s">
        <v>35</v>
      </c>
      <c r="B2" s="38" t="s">
        <v>116</v>
      </c>
      <c r="C2" s="4" t="s">
        <v>0</v>
      </c>
      <c r="D2" s="66" t="s">
        <v>28</v>
      </c>
      <c r="E2" s="67" t="s">
        <v>41</v>
      </c>
      <c r="F2" s="68" t="s">
        <v>41</v>
      </c>
    </row>
    <row r="3" spans="1:6" ht="27.75">
      <c r="A3" s="5" t="s">
        <v>117</v>
      </c>
      <c r="B3" s="6">
        <v>1885</v>
      </c>
      <c r="C3" s="6" t="s">
        <v>118</v>
      </c>
      <c r="D3" s="16" t="str">
        <f>Facultad!C3</f>
        <v>Ciencias Exactas</v>
      </c>
      <c r="E3" s="69">
        <f>B3</f>
        <v>1885</v>
      </c>
      <c r="F3" s="49" t="str">
        <f>C3</f>
        <v>Ingeniería de Sistemas</v>
      </c>
    </row>
    <row r="4" spans="1:6" ht="27.75">
      <c r="A4" s="5" t="s">
        <v>119</v>
      </c>
      <c r="B4" s="6">
        <v>53539</v>
      </c>
      <c r="C4" s="6" t="s">
        <v>120</v>
      </c>
      <c r="D4" s="16" t="str">
        <f>Facultad!C4</f>
        <v>Derecho</v>
      </c>
      <c r="E4" s="69">
        <f>B4</f>
        <v>53539</v>
      </c>
      <c r="F4" s="49" t="str">
        <f t="shared" ref="F4:F5" si="0">C4</f>
        <v>Derecho</v>
      </c>
    </row>
    <row r="5" spans="1:6" ht="28.5" thickBot="1">
      <c r="A5" s="19" t="s">
        <v>121</v>
      </c>
      <c r="B5" s="20">
        <v>106586</v>
      </c>
      <c r="C5" s="20" t="s">
        <v>122</v>
      </c>
      <c r="D5" s="23" t="str">
        <f>Facultad!C5</f>
        <v>Ciencias Sociales</v>
      </c>
      <c r="E5" s="70">
        <f>B5</f>
        <v>106586</v>
      </c>
      <c r="F5" s="50" t="str">
        <f t="shared" si="0"/>
        <v>Trabajo Social</v>
      </c>
    </row>
  </sheetData>
  <mergeCells count="1">
    <mergeCell ref="A1:D1"/>
  </mergeCells>
  <hyperlinks>
    <hyperlink ref="A1:D1" location="'Objetos de Dominio'!A7" display="&lt;- Volver al inicio" xr:uid="{E0D13AF3-F59A-49A7-B47F-6E8B1F6D2EAF}"/>
    <hyperlink ref="D3" location="'Facultad'!C3" display="=Facultad!C3" xr:uid="{3A538921-8EEF-40DC-BB4C-35519EEFB822}"/>
    <hyperlink ref="D4:D5" location="'Facultad'!A3" display="51f48f44-aa08-4d91-9f78-afa1cffeca78" xr:uid="{B27363C0-C4C5-4C75-B5C0-5A3A635CB14F}"/>
    <hyperlink ref="D4" location="'Facultad'!C4" display="=Facultad!C4" xr:uid="{8D7532A3-2876-46E9-A291-F54E17DF0ABF}"/>
    <hyperlink ref="D5" location="'Facultad'!C5" display="=Facultad!C5" xr:uid="{7AAFF463-8ACE-42C1-BD32-500CF1A3B9B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34D9-0AB2-451F-8B81-9BB8859D45F3}">
  <dimension ref="A1:C5"/>
  <sheetViews>
    <sheetView workbookViewId="0">
      <selection activeCell="I13" sqref="I13"/>
    </sheetView>
  </sheetViews>
  <sheetFormatPr defaultRowHeight="15"/>
  <cols>
    <col min="1" max="1" width="25.28515625" customWidth="1"/>
    <col min="2" max="2" width="22.42578125" customWidth="1"/>
    <col min="3" max="3" width="34" customWidth="1"/>
    <col min="4" max="7" width="9.140625" bestFit="1" customWidth="1"/>
  </cols>
  <sheetData>
    <row r="1" spans="1:3">
      <c r="A1" s="104" t="s">
        <v>34</v>
      </c>
      <c r="B1" s="104"/>
    </row>
    <row r="2" spans="1:3">
      <c r="A2" s="37" t="s">
        <v>35</v>
      </c>
      <c r="B2" s="4" t="s">
        <v>0</v>
      </c>
      <c r="C2" s="68" t="s">
        <v>41</v>
      </c>
    </row>
    <row r="3" spans="1:3" ht="27.75">
      <c r="A3" s="5" t="s">
        <v>123</v>
      </c>
      <c r="B3" s="6" t="s">
        <v>124</v>
      </c>
      <c r="C3" s="47" t="str">
        <f>B3</f>
        <v>Ciencias Exactas</v>
      </c>
    </row>
    <row r="4" spans="1:3" ht="30.75">
      <c r="A4" s="5" t="s">
        <v>125</v>
      </c>
      <c r="B4" s="6" t="s">
        <v>120</v>
      </c>
      <c r="C4" s="49" t="str">
        <f t="shared" ref="C4:C5" si="0">B4</f>
        <v>Derecho</v>
      </c>
    </row>
    <row r="5" spans="1:3" ht="27.75">
      <c r="A5" s="19" t="s">
        <v>126</v>
      </c>
      <c r="B5" s="20" t="s">
        <v>127</v>
      </c>
      <c r="C5" s="48" t="str">
        <f t="shared" si="0"/>
        <v>Ciencias Sociales</v>
      </c>
    </row>
  </sheetData>
  <mergeCells count="1">
    <mergeCell ref="A1:B1"/>
  </mergeCells>
  <hyperlinks>
    <hyperlink ref="A1:B1" location="'Objetos de Dominio'!A8" display="&lt;- Volver al inicio" xr:uid="{A22C9147-4E93-40C1-92D5-22461DB5D4E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5E09-26FF-4C97-9352-1E17D81FD6F8}">
  <dimension ref="A1:E9"/>
  <sheetViews>
    <sheetView workbookViewId="0">
      <selection activeCell="C11" sqref="C11"/>
    </sheetView>
  </sheetViews>
  <sheetFormatPr defaultRowHeight="15"/>
  <cols>
    <col min="1" max="1" width="38.85546875" bestFit="1" customWidth="1"/>
    <col min="2" max="2" width="16.5703125" customWidth="1"/>
    <col min="4" max="4" width="18.42578125" customWidth="1"/>
    <col min="5" max="5" width="18.7109375" bestFit="1" customWidth="1"/>
    <col min="6" max="6" width="9.5703125" bestFit="1" customWidth="1"/>
  </cols>
  <sheetData>
    <row r="1" spans="1:5">
      <c r="A1" s="105" t="s">
        <v>34</v>
      </c>
      <c r="B1" s="105"/>
    </row>
    <row r="2" spans="1:5">
      <c r="A2" s="37" t="s">
        <v>35</v>
      </c>
      <c r="B2" s="4" t="s">
        <v>0</v>
      </c>
      <c r="C2" s="66" t="s">
        <v>128</v>
      </c>
      <c r="D2" s="71" t="s">
        <v>41</v>
      </c>
      <c r="E2" s="68" t="s">
        <v>41</v>
      </c>
    </row>
    <row r="3" spans="1:5" ht="30.75">
      <c r="A3" s="5" t="s">
        <v>129</v>
      </c>
      <c r="B3" s="6" t="s">
        <v>130</v>
      </c>
      <c r="C3" s="86" t="s">
        <v>131</v>
      </c>
      <c r="D3" s="87" t="str">
        <f>_xlfn.CONCAT(B3)</f>
        <v>Finalizado</v>
      </c>
      <c r="E3" s="88" t="str">
        <f>_xlfn.CONCAT(C3)</f>
        <v>F</v>
      </c>
    </row>
    <row r="4" spans="1:5" ht="42" customHeight="1">
      <c r="A4" s="5" t="s">
        <v>132</v>
      </c>
      <c r="B4" s="6" t="s">
        <v>133</v>
      </c>
      <c r="C4" s="86" t="s">
        <v>134</v>
      </c>
      <c r="D4" s="87" t="str">
        <f t="shared" ref="D4:D9" si="0">_xlfn.CONCAT(B4)</f>
        <v>En Progreso</v>
      </c>
      <c r="E4" s="88" t="str">
        <f t="shared" ref="E4:E9" si="1">_xlfn.CONCAT(C4)</f>
        <v>EP</v>
      </c>
    </row>
    <row r="5" spans="1:5" ht="28.5" customHeight="1">
      <c r="A5" s="5" t="s">
        <v>135</v>
      </c>
      <c r="B5" s="6" t="s">
        <v>136</v>
      </c>
      <c r="C5" s="86" t="s">
        <v>137</v>
      </c>
      <c r="D5" s="87" t="str">
        <f t="shared" si="0"/>
        <v>Abandonado</v>
      </c>
      <c r="E5" s="88" t="str">
        <f t="shared" si="1"/>
        <v>AB</v>
      </c>
    </row>
    <row r="6" spans="1:5" ht="28.5" customHeight="1">
      <c r="A6" s="5" t="s">
        <v>138</v>
      </c>
      <c r="B6" s="6" t="s">
        <v>95</v>
      </c>
      <c r="C6" s="86" t="s">
        <v>139</v>
      </c>
      <c r="D6" s="87" t="str">
        <f t="shared" si="0"/>
        <v>Activo</v>
      </c>
      <c r="E6" s="88" t="str">
        <f t="shared" si="1"/>
        <v>A</v>
      </c>
    </row>
    <row r="7" spans="1:5" ht="27.75" customHeight="1">
      <c r="A7" s="5" t="s">
        <v>140</v>
      </c>
      <c r="B7" s="6" t="s">
        <v>141</v>
      </c>
      <c r="C7" s="86" t="s">
        <v>142</v>
      </c>
      <c r="D7" s="87" t="str">
        <f t="shared" si="0"/>
        <v>Inactivo</v>
      </c>
      <c r="E7" s="88" t="str">
        <f t="shared" si="1"/>
        <v>I</v>
      </c>
    </row>
    <row r="8" spans="1:5">
      <c r="A8" s="5" t="s">
        <v>143</v>
      </c>
      <c r="B8" s="6" t="s">
        <v>144</v>
      </c>
      <c r="C8" s="86" t="s">
        <v>145</v>
      </c>
      <c r="D8" s="87" t="str">
        <f t="shared" si="0"/>
        <v>No Aplica</v>
      </c>
      <c r="E8" s="88" t="str">
        <f t="shared" si="1"/>
        <v>NP</v>
      </c>
    </row>
    <row r="9" spans="1:5">
      <c r="A9" s="19" t="s">
        <v>143</v>
      </c>
      <c r="B9" s="20" t="s">
        <v>146</v>
      </c>
      <c r="C9" s="89" t="s">
        <v>147</v>
      </c>
      <c r="D9" s="90" t="str">
        <f>_xlfn.CONCAT(B9)</f>
        <v>Repetir</v>
      </c>
      <c r="E9" s="91" t="str">
        <f t="shared" si="1"/>
        <v>R</v>
      </c>
    </row>
  </sheetData>
  <mergeCells count="1">
    <mergeCell ref="A1:B1"/>
  </mergeCells>
  <hyperlinks>
    <hyperlink ref="A1" location="'Objetos de dominio'!A1" display="&lt;- Volver al inicio" xr:uid="{9C4C4E57-8FF3-447C-B175-78E9AE739B1D}"/>
    <hyperlink ref="A1:B1" location="'Objetos de Dominio'!A9" display="&lt;- Volver al inicio" xr:uid="{B5060A47-589D-4141-91D7-9F7F368CE7E1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D8CA-7DD9-4EBA-A398-D5F86BECC611}">
  <dimension ref="A1:F5"/>
  <sheetViews>
    <sheetView tabSelected="1" workbookViewId="0">
      <selection activeCell="F10" sqref="F10"/>
    </sheetView>
  </sheetViews>
  <sheetFormatPr defaultColWidth="9.140625" defaultRowHeight="15"/>
  <cols>
    <col min="1" max="1" width="22.85546875" style="2" customWidth="1"/>
    <col min="2" max="2" width="15" style="2" customWidth="1"/>
    <col min="3" max="3" width="24.7109375" style="2" customWidth="1"/>
    <col min="4" max="4" width="12.7109375" style="2" customWidth="1"/>
    <col min="5" max="5" width="20" style="2" customWidth="1"/>
    <col min="6" max="6" width="18.42578125" style="13" customWidth="1"/>
    <col min="7" max="7" width="10" style="2" customWidth="1"/>
    <col min="8" max="16384" width="9.140625" style="2"/>
  </cols>
  <sheetData>
    <row r="1" spans="1:6">
      <c r="A1" s="101" t="s">
        <v>34</v>
      </c>
      <c r="B1" s="101"/>
      <c r="C1" s="24"/>
      <c r="D1" s="24"/>
      <c r="E1" s="24"/>
      <c r="F1" s="24"/>
    </row>
    <row r="2" spans="1:6">
      <c r="A2" s="3" t="s">
        <v>35</v>
      </c>
      <c r="B2" s="4" t="s">
        <v>0</v>
      </c>
      <c r="C2" s="51" t="s">
        <v>41</v>
      </c>
      <c r="F2" s="2"/>
    </row>
    <row r="3" spans="1:6" ht="38.25" customHeight="1">
      <c r="A3" s="5" t="s">
        <v>108</v>
      </c>
      <c r="B3" s="6" t="s">
        <v>148</v>
      </c>
      <c r="C3" s="49" t="str">
        <f>B3</f>
        <v>Femenino</v>
      </c>
      <c r="F3" s="2"/>
    </row>
    <row r="4" spans="1:6" ht="27.75">
      <c r="A4" s="5" t="s">
        <v>111</v>
      </c>
      <c r="B4" s="6" t="s">
        <v>149</v>
      </c>
      <c r="C4" s="49" t="str">
        <f t="shared" ref="C4:C5" si="0">B4</f>
        <v>Masculino</v>
      </c>
      <c r="F4" s="2"/>
    </row>
    <row r="5" spans="1:6" ht="27.75">
      <c r="A5" s="19" t="s">
        <v>114</v>
      </c>
      <c r="B5" s="20" t="s">
        <v>150</v>
      </c>
      <c r="C5" s="50" t="str">
        <f t="shared" si="0"/>
        <v>Otro</v>
      </c>
      <c r="F5" s="2"/>
    </row>
  </sheetData>
  <mergeCells count="1">
    <mergeCell ref="A1:B1"/>
  </mergeCells>
  <hyperlinks>
    <hyperlink ref="A1" location="'Objetos de dominio'!A1" display="&lt;- Volver al inicio" xr:uid="{FA9E3A74-7F10-41C6-9E8F-2D0FD31D6913}"/>
    <hyperlink ref="A1:B1" location="'Objetos de Dominio'!A1" display="&lt;- Volver al inicio" xr:uid="{8C90E9F6-CCCE-4E8B-A596-B01811E18ED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168a39-8cd2-49bc-b1c5-42f933dcfd2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9E364CF2FAC646913FA2F6AF72DBE1" ma:contentTypeVersion="11" ma:contentTypeDescription="Crear nuevo documento." ma:contentTypeScope="" ma:versionID="25fd11a1a17d1b8cb394866972d60667">
  <xsd:schema xmlns:xsd="http://www.w3.org/2001/XMLSchema" xmlns:xs="http://www.w3.org/2001/XMLSchema" xmlns:p="http://schemas.microsoft.com/office/2006/metadata/properties" xmlns:ns2="d3168a39-8cd2-49bc-b1c5-42f933dcfd23" targetNamespace="http://schemas.microsoft.com/office/2006/metadata/properties" ma:root="true" ma:fieldsID="3dc67a3c67850591eca2c90353d69125" ns2:_="">
    <xsd:import namespace="d3168a39-8cd2-49bc-b1c5-42f933dcfd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68a39-8cd2-49bc-b1c5-42f933dcf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A0397F-1F4C-43B1-9E13-BD575AC7AB09}"/>
</file>

<file path=customXml/itemProps2.xml><?xml version="1.0" encoding="utf-8"?>
<ds:datastoreItem xmlns:ds="http://schemas.openxmlformats.org/officeDocument/2006/customXml" ds:itemID="{16D7509D-C89F-4760-807C-1CBB0A028BDC}"/>
</file>

<file path=customXml/itemProps3.xml><?xml version="1.0" encoding="utf-8"?>
<ds:datastoreItem xmlns:ds="http://schemas.openxmlformats.org/officeDocument/2006/customXml" ds:itemID="{9CD1E92A-70DD-47AF-A8FE-A139CAF3EC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JOSE DIAZ ECHEVERRI</dc:creator>
  <cp:keywords/>
  <dc:description/>
  <cp:lastModifiedBy>Juan Jose Restrepo Valencia</cp:lastModifiedBy>
  <cp:revision/>
  <dcterms:created xsi:type="dcterms:W3CDTF">2024-03-01T19:52:08Z</dcterms:created>
  <dcterms:modified xsi:type="dcterms:W3CDTF">2025-07-12T22:46:18Z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0x010100339E364CF2FAC646913FA2F6AF72DBE1</vt:lpwstr>
  </property>
  <property fmtid="{D5CDD505-2E9C-101B-9397-08002B2CF9AE}" pid="3" name="MediaServiceImageTags">
    <vt:lpwstr/>
  </property>
</Properties>
</file>