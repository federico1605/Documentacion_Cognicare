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C:\Users\wsancheg\Downloads\"/>
    </mc:Choice>
  </mc:AlternateContent>
  <xr:revisionPtr revIDLastSave="1646" documentId="13_ncr:101_{1C3F9C3C-FC3D-4749-8C84-2EAB0B6A4D0D}" xr6:coauthVersionLast="47" xr6:coauthVersionMax="47" xr10:uidLastSave="{1C627446-B640-46B7-987B-97188E87189B}"/>
  <bookViews>
    <workbookView xWindow="-110" yWindow="-110" windowWidth="19420" windowHeight="10300" xr2:uid="{B19C3FF5-8860-4EB9-A058-BBE22729C121}"/>
  </bookViews>
  <sheets>
    <sheet name="MapeoImpactosComandos" sheetId="1" r:id="rId1"/>
    <sheet name="HU-BASE-001" sheetId="6" r:id="rId2"/>
    <sheet name="HU-BASE-002" sheetId="7" r:id="rId3"/>
    <sheet name="HU-BASE-003" sheetId="8" r:id="rId4"/>
    <sheet name="HU-BASE-004" sheetId="9" r:id="rId5"/>
    <sheet name="HU-BASE-005" sheetId="10" r:id="rId6"/>
    <sheet name="HU-BASE-006" sheetId="11" r:id="rId7"/>
    <sheet name="HU-BASE-007" sheetId="12" r:id="rId8"/>
    <sheet name="HU-BASE-008" sheetId="13" r:id="rId9"/>
    <sheet name="HU-BASE-009" sheetId="14" r:id="rId10"/>
    <sheet name="HU-BASE-010" sheetId="15" r:id="rId11"/>
    <sheet name="HU-BASE-011" sheetId="16" r:id="rId12"/>
    <sheet name="HU-BASE-012" sheetId="17" r:id="rId13"/>
    <sheet name="HU-BASE-013" sheetId="18" r:id="rId14"/>
    <sheet name="HU-BASE-014" sheetId="19" r:id="rId15"/>
    <sheet name="HU-BASE-015" sheetId="20" r:id="rId16"/>
    <sheet name="HU-BASE-016" sheetId="21" r:id="rId17"/>
    <sheet name="HU-BASE-017" sheetId="22" r:id="rId18"/>
    <sheet name="HU-BASE-018" sheetId="23" r:id="rId19"/>
    <sheet name="HU-BASE-019" sheetId="24" r:id="rId20"/>
    <sheet name="HU-BASE-020" sheetId="25" r:id="rId21"/>
    <sheet name="HU-BASE-021" sheetId="26" r:id="rId22"/>
    <sheet name="HU-BASE-022" sheetId="27" r:id="rId23"/>
    <sheet name="HU-BASE-023" sheetId="28" r:id="rId24"/>
    <sheet name="Sprints" sheetId="3" r:id="rId25"/>
    <sheet name="Consolidado" sheetId="4" r:id="rId26"/>
    <sheet name="Valores" sheetId="2" state="hidden" r:id="rId27"/>
  </sheets>
  <definedNames>
    <definedName name="_xlnm._FilterDatabase" localSheetId="0" hidden="1">MapeoImpactosComandos!$A$1:$R$18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6" l="1"/>
  <c r="E11" i="28"/>
  <c r="E10" i="28"/>
  <c r="A3" i="28"/>
  <c r="A8" i="28"/>
  <c r="B7" i="28"/>
  <c r="B6" i="28"/>
  <c r="B5" i="28"/>
  <c r="A11" i="28"/>
  <c r="A10" i="28"/>
  <c r="A3" i="27"/>
  <c r="E11" i="26"/>
  <c r="E10" i="26"/>
  <c r="E11" i="27"/>
  <c r="E10" i="27"/>
  <c r="A8" i="27"/>
  <c r="B7" i="27"/>
  <c r="B6" i="27"/>
  <c r="B5" i="27"/>
  <c r="A11" i="27"/>
  <c r="A10" i="27"/>
  <c r="A8" i="26"/>
  <c r="B7" i="26"/>
  <c r="B6" i="26"/>
  <c r="B5" i="26"/>
  <c r="A3" i="26"/>
  <c r="A11" i="26"/>
  <c r="A10" i="26"/>
  <c r="E11" i="25"/>
  <c r="E10" i="25"/>
  <c r="A3" i="24"/>
  <c r="A3" i="25"/>
  <c r="A8" i="25"/>
  <c r="B7" i="25"/>
  <c r="B6" i="25"/>
  <c r="B5" i="25"/>
  <c r="A11" i="25"/>
  <c r="A10" i="25"/>
  <c r="E11" i="24"/>
  <c r="E10" i="24"/>
  <c r="B7" i="24"/>
  <c r="B6" i="24"/>
  <c r="B5" i="24"/>
  <c r="A11" i="24"/>
  <c r="A10" i="24"/>
  <c r="A3" i="23"/>
  <c r="E11" i="23"/>
  <c r="E10" i="23"/>
  <c r="A8" i="23"/>
  <c r="B7" i="23"/>
  <c r="B6" i="23"/>
  <c r="B5" i="23"/>
  <c r="A11" i="23"/>
  <c r="A10" i="23"/>
  <c r="A3" i="22"/>
  <c r="E11" i="22"/>
  <c r="E10" i="22"/>
  <c r="A8" i="22"/>
  <c r="B7" i="22"/>
  <c r="B6" i="22"/>
  <c r="B5" i="22"/>
  <c r="A11" i="22"/>
  <c r="A10" i="22"/>
  <c r="A3" i="21"/>
  <c r="E11" i="21"/>
  <c r="E10" i="21"/>
  <c r="E11" i="20"/>
  <c r="E10" i="20"/>
  <c r="A8" i="21"/>
  <c r="B7" i="21"/>
  <c r="B6" i="21"/>
  <c r="B5" i="21"/>
  <c r="A11" i="21"/>
  <c r="A10" i="21"/>
  <c r="A3" i="20"/>
  <c r="A8" i="20"/>
  <c r="B7" i="20"/>
  <c r="B6" i="20"/>
  <c r="B5" i="20"/>
  <c r="A11" i="20"/>
  <c r="A10" i="20"/>
  <c r="E11" i="18"/>
  <c r="E10" i="18"/>
  <c r="E11" i="19"/>
  <c r="E10" i="19"/>
  <c r="A8" i="19"/>
  <c r="B7" i="19"/>
  <c r="B6" i="19"/>
  <c r="B5" i="19"/>
  <c r="A3" i="19"/>
  <c r="A11" i="19"/>
  <c r="A10" i="19"/>
  <c r="A8" i="18"/>
  <c r="B7" i="18"/>
  <c r="B6" i="18"/>
  <c r="B5" i="18"/>
  <c r="A3" i="18"/>
  <c r="A11" i="18"/>
  <c r="A10" i="18"/>
  <c r="E11" i="17"/>
  <c r="E10" i="17"/>
  <c r="A3" i="17"/>
  <c r="A8" i="17"/>
  <c r="B7" i="17"/>
  <c r="B6" i="17"/>
  <c r="B5" i="17"/>
  <c r="A11" i="17"/>
  <c r="A10" i="17"/>
  <c r="A3" i="16"/>
  <c r="E11" i="16"/>
  <c r="E10" i="16"/>
  <c r="A8" i="16"/>
  <c r="B7" i="16"/>
  <c r="B6" i="16"/>
  <c r="B5" i="16"/>
  <c r="A11" i="16"/>
  <c r="A10" i="16"/>
  <c r="E11" i="14"/>
  <c r="E10" i="14"/>
  <c r="E11" i="15"/>
  <c r="E10" i="15"/>
  <c r="A8" i="15"/>
  <c r="B7" i="15"/>
  <c r="B6" i="15"/>
  <c r="B5" i="15"/>
  <c r="A3" i="15"/>
  <c r="A3" i="14"/>
  <c r="A11" i="15"/>
  <c r="A10" i="15"/>
  <c r="A8" i="14"/>
  <c r="B7" i="14"/>
  <c r="B6" i="14"/>
  <c r="B5" i="14"/>
  <c r="A11" i="14"/>
  <c r="A10" i="14"/>
  <c r="E12" i="13"/>
  <c r="E11" i="13"/>
  <c r="B6" i="13"/>
  <c r="A12" i="13"/>
  <c r="A11" i="13"/>
  <c r="E11" i="12"/>
  <c r="E10" i="12"/>
  <c r="B6" i="12"/>
  <c r="A11" i="12"/>
  <c r="A10" i="12"/>
  <c r="E11" i="11"/>
  <c r="E10" i="11"/>
  <c r="B6" i="11"/>
  <c r="A11" i="11"/>
  <c r="A10" i="11"/>
  <c r="E11" i="10"/>
  <c r="E10" i="10"/>
  <c r="B6" i="10"/>
  <c r="A11" i="10"/>
  <c r="A10" i="10"/>
  <c r="E11" i="9"/>
  <c r="E10" i="9"/>
  <c r="B6" i="9"/>
  <c r="A11" i="9"/>
  <c r="A10" i="9"/>
  <c r="E11" i="8"/>
  <c r="E10" i="8"/>
  <c r="B6" i="8"/>
  <c r="B5" i="8"/>
  <c r="A11" i="8"/>
  <c r="A10" i="8"/>
  <c r="E11" i="7"/>
  <c r="E10" i="7"/>
  <c r="B6" i="7"/>
  <c r="B5" i="7"/>
  <c r="A11" i="7"/>
  <c r="A10" i="7"/>
  <c r="E11" i="6"/>
  <c r="E10" i="6"/>
  <c r="A11" i="6"/>
  <c r="A10" i="6"/>
  <c r="J6" i="1"/>
  <c r="A3" i="8" s="1"/>
  <c r="J5" i="1"/>
  <c r="A3" i="7" s="1"/>
  <c r="R5" i="1"/>
  <c r="B7" i="7" s="1"/>
  <c r="R6" i="1"/>
  <c r="B7" i="8" s="1"/>
  <c r="R7" i="1"/>
  <c r="B7" i="9" s="1"/>
  <c r="R8" i="1"/>
  <c r="B7" i="10" s="1"/>
  <c r="R9" i="1"/>
  <c r="B7" i="11" s="1"/>
  <c r="R10" i="1"/>
  <c r="B7" i="12" s="1"/>
  <c r="R11" i="1"/>
  <c r="B7" i="13" s="1"/>
  <c r="R12" i="1"/>
  <c r="R13" i="1"/>
  <c r="R14" i="1"/>
  <c r="R15" i="1"/>
  <c r="R16" i="1"/>
  <c r="R17" i="1"/>
  <c r="R18" i="1"/>
  <c r="R19" i="1"/>
  <c r="R20" i="1"/>
  <c r="R21" i="1"/>
  <c r="R22" i="1"/>
  <c r="R23" i="1"/>
  <c r="R24" i="1"/>
  <c r="R25" i="1"/>
  <c r="R26" i="1"/>
  <c r="Q4" i="1"/>
  <c r="B6" i="6" s="1"/>
  <c r="J26" i="1"/>
  <c r="A24" i="4" s="1"/>
  <c r="P26" i="1"/>
  <c r="K26" i="1" s="1"/>
  <c r="J11" i="1"/>
  <c r="P11" i="1"/>
  <c r="J22" i="1"/>
  <c r="A20" i="4" s="1"/>
  <c r="P22" i="1"/>
  <c r="K22" i="1" s="1"/>
  <c r="A8" i="24" s="1"/>
  <c r="J23" i="1"/>
  <c r="A21" i="4" s="1"/>
  <c r="P23" i="1"/>
  <c r="K23" i="1" s="1"/>
  <c r="J24" i="1"/>
  <c r="A22" i="4" s="1"/>
  <c r="P24" i="1"/>
  <c r="K24" i="1" s="1"/>
  <c r="J25" i="1"/>
  <c r="A23" i="4" s="1"/>
  <c r="P25" i="1"/>
  <c r="K25" i="1" s="1"/>
  <c r="J19" i="1"/>
  <c r="A17" i="4" s="1"/>
  <c r="P19" i="1"/>
  <c r="K19" i="1" s="1"/>
  <c r="J20" i="1"/>
  <c r="A18" i="4" s="1"/>
  <c r="P20" i="1"/>
  <c r="K20" i="1" s="1"/>
  <c r="J21" i="1"/>
  <c r="A19" i="4" s="1"/>
  <c r="P21" i="1"/>
  <c r="K21" i="1" s="1"/>
  <c r="J7" i="1"/>
  <c r="J8" i="1"/>
  <c r="J9" i="1"/>
  <c r="J10" i="1"/>
  <c r="J12" i="1"/>
  <c r="A10" i="4" s="1"/>
  <c r="J13" i="1"/>
  <c r="A11" i="4" s="1"/>
  <c r="J14" i="1"/>
  <c r="A12" i="4" s="1"/>
  <c r="J15" i="1"/>
  <c r="A13" i="4" s="1"/>
  <c r="J16" i="1"/>
  <c r="A14" i="4" s="1"/>
  <c r="J17" i="1"/>
  <c r="A15" i="4" s="1"/>
  <c r="J18" i="1"/>
  <c r="A16" i="4" s="1"/>
  <c r="P7" i="1"/>
  <c r="P8" i="1"/>
  <c r="P9" i="1"/>
  <c r="P10" i="1"/>
  <c r="P12" i="1"/>
  <c r="K12" i="1" s="1"/>
  <c r="P13" i="1"/>
  <c r="K13" i="1" s="1"/>
  <c r="P14" i="1"/>
  <c r="K14" i="1" s="1"/>
  <c r="P15" i="1"/>
  <c r="K15" i="1" s="1"/>
  <c r="P16" i="1"/>
  <c r="K16" i="1" s="1"/>
  <c r="P17" i="1"/>
  <c r="K17" i="1" s="1"/>
  <c r="P18" i="1"/>
  <c r="K18" i="1" s="1"/>
  <c r="K6" i="1"/>
  <c r="A8" i="8" s="1"/>
  <c r="A4" i="4"/>
  <c r="K5" i="1"/>
  <c r="A8" i="7" s="1"/>
  <c r="A3" i="4"/>
  <c r="J4" i="1"/>
  <c r="R4" i="1"/>
  <c r="B7" i="6" s="1"/>
  <c r="P4" i="1"/>
  <c r="K4" i="1" l="1"/>
  <c r="B5" i="6"/>
  <c r="K10" i="1"/>
  <c r="A8" i="12" s="1"/>
  <c r="B5" i="12"/>
  <c r="K9" i="1"/>
  <c r="A8" i="11" s="1"/>
  <c r="B5" i="11"/>
  <c r="K8" i="1"/>
  <c r="A8" i="10" s="1"/>
  <c r="B5" i="10"/>
  <c r="K7" i="1"/>
  <c r="A8" i="9" s="1"/>
  <c r="B5" i="9"/>
  <c r="A8" i="4"/>
  <c r="A3" i="12"/>
  <c r="A7" i="4"/>
  <c r="A3" i="11"/>
  <c r="A6" i="4"/>
  <c r="A3" i="10"/>
  <c r="A3" i="9"/>
  <c r="A5" i="4"/>
  <c r="K11" i="1"/>
  <c r="A8" i="13" s="1"/>
  <c r="B5" i="13"/>
  <c r="A9" i="4"/>
  <c r="A3" i="13"/>
  <c r="A2" i="4"/>
  <c r="A3" i="6"/>
</calcChain>
</file>

<file path=xl/sharedStrings.xml><?xml version="1.0" encoding="utf-8"?>
<sst xmlns="http://schemas.openxmlformats.org/spreadsheetml/2006/main" count="1013" uniqueCount="244">
  <si>
    <t>Mapa impacto</t>
  </si>
  <si>
    <t>Objeto de dominio</t>
  </si>
  <si>
    <t>Event Storming</t>
  </si>
  <si>
    <t>Mapeo consistente</t>
  </si>
  <si>
    <t>Observaciones</t>
  </si>
  <si>
    <t>Historia de usuario</t>
  </si>
  <si>
    <t>Actor</t>
  </si>
  <si>
    <t>Impacto</t>
  </si>
  <si>
    <t>Entregable</t>
  </si>
  <si>
    <t>Comando</t>
  </si>
  <si>
    <t>Valor de negocio</t>
  </si>
  <si>
    <t>Épica</t>
  </si>
  <si>
    <t>Funcionalidad/Historia Usuario</t>
  </si>
  <si>
    <t>Identificador</t>
  </si>
  <si>
    <t>Nombre</t>
  </si>
  <si>
    <t>Card</t>
  </si>
  <si>
    <t>Talla(Tamaño)</t>
  </si>
  <si>
    <t>Talla(Complejidad)</t>
  </si>
  <si>
    <t>Pivote</t>
  </si>
  <si>
    <t>Orden</t>
  </si>
  <si>
    <t>Como</t>
  </si>
  <si>
    <t>Necesito</t>
  </si>
  <si>
    <t>Para</t>
  </si>
  <si>
    <t>Administradores del Sistema</t>
  </si>
  <si>
    <t>Permitir la gestión de los entrenadores e informes generados por la aplicación, para facilitar la supervisión y el seguimiento de los procesos.</t>
  </si>
  <si>
    <t>Gestión de entrenadores</t>
  </si>
  <si>
    <t>Entrenador</t>
  </si>
  <si>
    <t>Administrador del sistema</t>
  </si>
  <si>
    <t>Registrar información de un nuevo entrenador</t>
  </si>
  <si>
    <t>SI</t>
  </si>
  <si>
    <t>HU-BASE-001</t>
  </si>
  <si>
    <t>S</t>
  </si>
  <si>
    <t>Estudiantes</t>
  </si>
  <si>
    <t>Realizar los diferentes entrenamientos cognitivos asignados, con el fin de mejorar las habilidades cognitivas en las que se haya identificado una oportunidad de desarrollo en el estudiante. ​</t>
  </si>
  <si>
    <t>Ejecución de planes de entrenamiento</t>
  </si>
  <si>
    <t>Entrenamiento Cognitivo</t>
  </si>
  <si>
    <t>Estudiante</t>
  </si>
  <si>
    <t>Comenzar un entrenamiento cognitivo</t>
  </si>
  <si>
    <t>HU-BASE-002</t>
  </si>
  <si>
    <t>M</t>
  </si>
  <si>
    <t>poder iniciar el proceso de mi entrenamiento cognitivo</t>
  </si>
  <si>
    <t>Entrenadores</t>
  </si>
  <si>
    <t>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t>
  </si>
  <si>
    <t>Gestión de Entrenamientos Cognitivos</t>
  </si>
  <si>
    <t>Sesión Entrenamiento</t>
  </si>
  <si>
    <t>Dar acceso a entrenamiento cognitivo</t>
  </si>
  <si>
    <t>HU-BASE-003</t>
  </si>
  <si>
    <t>brindar acceso a los estudiantes a los diferentes entrenamientos cognitivos</t>
  </si>
  <si>
    <t>Gestión de Informes​</t>
  </si>
  <si>
    <t>Generar informes de entrenamientos cognitivos creados asignados</t>
  </si>
  <si>
    <t>HU-BASE-004</t>
  </si>
  <si>
    <t>poder generar informes de los entrenamientos cognitivos asignados</t>
  </si>
  <si>
    <t>Gestión de Informes</t>
  </si>
  <si>
    <t>Asignación Variable Cognitiva</t>
  </si>
  <si>
    <t>Consultar historial de entrenamiento cognitivo</t>
  </si>
  <si>
    <t>HU-BASE-005</t>
  </si>
  <si>
    <t>XS</t>
  </si>
  <si>
    <t>poder consultar el historial de actividad de los diferentes entrenamientos cognitivos</t>
  </si>
  <si>
    <t>Crear un nuevo entrenamiento cognitivo</t>
  </si>
  <si>
    <t>HU-BASE-006</t>
  </si>
  <si>
    <t>poder crear un nuevo entrenamiento cognitivo</t>
  </si>
  <si>
    <t>Modificar un entrenamiento cognitivo</t>
  </si>
  <si>
    <t>HU-BASE-007</t>
  </si>
  <si>
    <t>poder editar un entrenamiento cognitivo</t>
  </si>
  <si>
    <t>Iniciar sesion de entrenamiento</t>
  </si>
  <si>
    <t>HU-BASE-008</t>
  </si>
  <si>
    <t>poder iniciar una nueva sesión de entrenamiento inmediatamente</t>
  </si>
  <si>
    <t>Ingresar a una variable cognitiva a la que tenga acceso</t>
  </si>
  <si>
    <t>HU-BASE-009</t>
  </si>
  <si>
    <t>poder ingresar a una variable cognitiva a la que tenga acceso</t>
  </si>
  <si>
    <t>Abandonar variable cognitiva</t>
  </si>
  <si>
    <t>HU-BASE-010</t>
  </si>
  <si>
    <t>poder abandonar el entrenamiento cognitivo que esté desarrollando</t>
  </si>
  <si>
    <t>Gestión de Estudiantes</t>
  </si>
  <si>
    <t>Registrar un nuevo estudiante</t>
  </si>
  <si>
    <t>HU-BASE-011</t>
  </si>
  <si>
    <t>poder registrar a un nuevo estudiante remitido por pedagogos</t>
  </si>
  <si>
    <t>Aprobar abandono de variable cognitiva del estudiante</t>
  </si>
  <si>
    <t>HU-BASE-012</t>
  </si>
  <si>
    <t>poder aprobar el abandono de un estudiante</t>
  </si>
  <si>
    <t>Generar informes de entrenamientos cognitivos creados</t>
  </si>
  <si>
    <t>HU-BASE-013</t>
  </si>
  <si>
    <t>poder generar informes de los entrenamientos cognitivos</t>
  </si>
  <si>
    <t>Crear observación de sesión de entrenamiento</t>
  </si>
  <si>
    <t>HU-BASE-014</t>
  </si>
  <si>
    <t>poder generar comentarios sobre la sesión de un estudiante en su entrenamiento cognitivo</t>
  </si>
  <si>
    <t>Gestión de Entrenadores</t>
  </si>
  <si>
    <t>Modificar información de entrenadores</t>
  </si>
  <si>
    <t>HU-BASE-015</t>
  </si>
  <si>
    <t>poder modificar a los entrenadores de la aplicación</t>
  </si>
  <si>
    <t>Consultar información de entrenadores</t>
  </si>
  <si>
    <t>HU-BASE-016</t>
  </si>
  <si>
    <t>poder consultar los entrenadores que se encuentran registrados en la aplicación</t>
  </si>
  <si>
    <t>Consultar información de estudiantes</t>
  </si>
  <si>
    <t>HU-BASE-017</t>
  </si>
  <si>
    <t>poder consultar los perfiles de los estudiantes</t>
  </si>
  <si>
    <t>Seleccionar identidad de género</t>
  </si>
  <si>
    <t>HU-BASE-018</t>
  </si>
  <si>
    <t>poder seleccionar el género del personaje que voy a usar</t>
  </si>
  <si>
    <t>Guardar progreso del entrenamiento</t>
  </si>
  <si>
    <t>HU-BASE-019</t>
  </si>
  <si>
    <t>poder guardar el progreso del entrenamiento</t>
  </si>
  <si>
    <t>Activar entrenadores</t>
  </si>
  <si>
    <t>HU-BASE-020</t>
  </si>
  <si>
    <t>poder activar los perfiles de los entrenadores</t>
  </si>
  <si>
    <t>Desactivar entrenadores</t>
  </si>
  <si>
    <t>HU-BASE-021</t>
  </si>
  <si>
    <t>poder desactivar los perfiles de los entrenadores</t>
  </si>
  <si>
    <t>Modificar información de estudiantes</t>
  </si>
  <si>
    <t>HU-BASE-022</t>
  </si>
  <si>
    <t>poder modificar la información de los estudiantes</t>
  </si>
  <si>
    <t>Descargar informe de entrenamiento cognitivo</t>
  </si>
  <si>
    <t>HU-BASE-023</t>
  </si>
  <si>
    <t>poder descargar el informe del entrenamiento cognitivo</t>
  </si>
  <si>
    <t>&lt;-Volver al listado</t>
  </si>
  <si>
    <t>Título</t>
  </si>
  <si>
    <t>Tarjeta</t>
  </si>
  <si>
    <t>Tallaje</t>
  </si>
  <si>
    <t>¿Definition of Ready?</t>
  </si>
  <si>
    <t>¿Definition of Done?</t>
  </si>
  <si>
    <t>Criterios aceptación</t>
  </si>
  <si>
    <t>Código</t>
  </si>
  <si>
    <t>Escenario</t>
  </si>
  <si>
    <t>Estado</t>
  </si>
  <si>
    <t>Observación</t>
  </si>
  <si>
    <t>Aceptado</t>
  </si>
  <si>
    <t>No aceptado</t>
  </si>
  <si>
    <t>CA1</t>
  </si>
  <si>
    <r>
      <rPr>
        <b/>
        <sz val="11"/>
        <color rgb="FF000000"/>
        <rFont val="Calibri"/>
      </rPr>
      <t>Dado</t>
    </r>
    <r>
      <rPr>
        <sz val="11"/>
        <color rgb="FF000000"/>
        <rFont val="Calibri"/>
      </rPr>
      <t xml:space="preserve"> que un Administrador del sistema está autenticado en la plataforma. </t>
    </r>
    <r>
      <rPr>
        <b/>
        <sz val="11"/>
        <color rgb="FF000000"/>
        <rFont val="Calibri"/>
      </rPr>
      <t xml:space="preserve">Cuando </t>
    </r>
    <r>
      <rPr>
        <sz val="11"/>
        <color rgb="FF000000"/>
        <rFont val="Calibri"/>
      </rPr>
      <t xml:space="preserve">envía la información completa y válida de un nuevo entrenador (nombres, apellidos, tipo y número de documento, correo y al menos una facultad válida). </t>
    </r>
    <r>
      <rPr>
        <b/>
        <sz val="11"/>
        <color rgb="FF000000"/>
        <rFont val="Calibri"/>
      </rPr>
      <t xml:space="preserve">Entonces </t>
    </r>
    <r>
      <rPr>
        <sz val="11"/>
        <color rgb="FF000000"/>
        <rFont val="Calibri"/>
      </rPr>
      <t>el sistema debe registrar al nuevo entrenador en la base de datos y responder con un mensaje de éxito y el ID del nuevo registro.</t>
    </r>
  </si>
  <si>
    <t>X</t>
  </si>
  <si>
    <t>CA2</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</si>
  <si>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con un número de documento que ya existe en el sistema. </t>
    </r>
    <r>
      <rPr>
        <b/>
        <sz val="11"/>
        <color rgb="FF000000"/>
        <rFont val="Calibri"/>
      </rPr>
      <t xml:space="preserve">Entonces </t>
    </r>
    <r>
      <rPr>
        <sz val="11"/>
        <color rgb="FF000000"/>
        <rFont val="Calibri"/>
      </rPr>
      <t>el sistema debe rechazar la solicitud y mostrar un mensaje de error indicando que el documento ya está en uso.</t>
    </r>
  </si>
  <si>
    <t>CA3</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</si>
  <si>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con una dirección de correo electrónico que ya existe en el sistema. </t>
    </r>
    <r>
      <rPr>
        <b/>
        <sz val="11"/>
        <color rgb="FF000000"/>
        <rFont val="Calibri"/>
      </rPr>
      <t xml:space="preserve">Entonces </t>
    </r>
    <r>
      <rPr>
        <sz val="11"/>
        <color rgb="FF000000"/>
        <rFont val="Calibri"/>
      </rPr>
      <t>el sistema debe rechazar la solicitud y mostrar un mensaje de error indicando que el correo electrónico ya está registrado.</t>
    </r>
  </si>
  <si>
    <t>CA4</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</si>
  <si>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asignándole una facultad que no existe en el sistema. </t>
    </r>
    <r>
      <rPr>
        <b/>
        <sz val="11"/>
        <color rgb="FF000000"/>
        <rFont val="Calibri"/>
      </rPr>
      <t xml:space="preserve">Entonces </t>
    </r>
    <r>
      <rPr>
        <sz val="11"/>
        <color rgb="FF000000"/>
        <rFont val="Calibri"/>
      </rPr>
      <t>el sistema debe rechazar la solicitud y mostrar un mensaje de error indicando que la facultad no es válida.</t>
    </r>
  </si>
  <si>
    <t>CA5</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</si>
  <si>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sin proporcionar todos los campos obligatorios (por ejemplo, el campo "nombres"). </t>
    </r>
    <r>
      <rPr>
        <b/>
        <sz val="11"/>
        <color rgb="FF000000"/>
        <rFont val="Calibri"/>
      </rPr>
      <t xml:space="preserve">Entonces </t>
    </r>
    <r>
      <rPr>
        <sz val="11"/>
        <color rgb="FF000000"/>
        <rFont val="Calibri"/>
      </rPr>
      <t>el sistema debe rechazar la solicitud y mostrar un mensaje de error que especifique cuál campo obligatorio falta.</t>
    </r>
  </si>
  <si>
    <t>CA6</t>
  </si>
  <si>
    <r>
      <rPr>
        <b/>
        <sz val="11"/>
        <color rgb="FF000000"/>
        <rFont val="Calibri"/>
      </rPr>
      <t xml:space="preserve">Dado </t>
    </r>
    <r>
      <rPr>
        <sz val="11"/>
        <color rgb="FF000000"/>
        <rFont val="Calibri"/>
      </rPr>
      <t xml:space="preserve">que un usuario autenticado que no tiene el rol de "Administrador" intenta acceder a la funcionalidad. </t>
    </r>
    <r>
      <rPr>
        <b/>
        <sz val="11"/>
        <color rgb="FF000000"/>
        <rFont val="Calibri"/>
      </rPr>
      <t xml:space="preserve">Cuando </t>
    </r>
    <r>
      <rPr>
        <sz val="11"/>
        <color rgb="FF000000"/>
        <rFont val="Calibri"/>
      </rPr>
      <t xml:space="preserve">envía una solicitud para registrar un nuevo entrenador. </t>
    </r>
    <r>
      <rPr>
        <b/>
        <sz val="11"/>
        <color rgb="FF000000"/>
        <rFont val="Calibri"/>
      </rPr>
      <t xml:space="preserve">Entonces </t>
    </r>
    <r>
      <rPr>
        <sz val="11"/>
        <color rgb="FF000000"/>
        <rFont val="Calibri"/>
      </rPr>
      <t>el sistema debe denegar el acceso y responder con un mensaje de error de permisos insuficientes.</t>
    </r>
  </si>
  <si>
    <r>
      <t>Dado</t>
    </r>
    <r>
      <rPr>
        <sz val="11"/>
        <color rgb="FF000000"/>
        <rFont val="Calibri"/>
      </rPr>
      <t xml:space="preserve"> que un Estudiante ha iniciado una sesion de entrenado y tiene el estado "Por Iniciar". </t>
    </r>
    <r>
      <rPr>
        <b/>
        <sz val="11"/>
        <color rgb="FF000000"/>
        <rFont val="Calibri"/>
      </rPr>
      <t>Cuando</t>
    </r>
    <r>
      <rPr>
        <sz val="11"/>
        <color rgb="FF000000"/>
        <rFont val="Calibri"/>
      </rPr>
      <t xml:space="preserve"> el entrenador selecciona la opción para comenzar dicha sesión. </t>
    </r>
    <r>
      <rPr>
        <b/>
        <sz val="11"/>
        <color rgb="FF000000"/>
        <rFont val="Calibri"/>
      </rPr>
      <t>Entonces</t>
    </r>
    <r>
      <rPr>
        <sz val="11"/>
        <color rgb="FF000000"/>
        <rFont val="Calibri"/>
      </rPr>
      <t xml:space="preserve"> el sistema debe cambiar el estado de la sesión a "En Progreso" y presentarle la primera actividad o tarea correspondiente a esa sesión.</t>
    </r>
  </si>
  <si>
    <r>
      <t>Dado</t>
    </r>
    <r>
      <rPr>
        <sz val="11"/>
        <color theme="1"/>
        <rFont val="Calibri"/>
      </rPr>
      <t xml:space="preserve"> que un Estudiante inicia su primera sesión de un entrenamiento cognitivo. </t>
    </r>
    <r>
      <rPr>
        <b/>
        <sz val="11"/>
        <color theme="1"/>
        <rFont val="Calibri"/>
      </rPr>
      <t>Cuando</t>
    </r>
    <r>
      <rPr>
        <sz val="11"/>
        <color theme="1"/>
        <rFont val="Calibri"/>
      </rPr>
      <t xml:space="preserve"> la sesión cambia a estado "En Progreso". </t>
    </r>
    <r>
      <rPr>
        <b/>
        <sz val="11"/>
        <color theme="1"/>
        <rFont val="Calibri"/>
      </rPr>
      <t>Entonces</t>
    </r>
    <r>
      <rPr>
        <sz val="11"/>
        <color theme="1"/>
        <rFont val="Calibri"/>
      </rPr>
      <t xml:space="preserve"> el sistema debe actualizar automáticamente el estado general del "Entrenamiento Cognitivo" y el de la "Variable Cognitiva" asociada a "En Progreso".</t>
    </r>
  </si>
  <si>
    <r>
      <rPr>
        <b/>
        <sz val="11"/>
        <color rgb="FF000000"/>
        <rFont val="Calibri"/>
      </rPr>
      <t>Dado</t>
    </r>
    <r>
      <rPr>
        <sz val="11"/>
        <color rgb="FF000000"/>
        <rFont val="Aptos Narrow"/>
        <scheme val="minor"/>
      </rPr>
      <t xml:space="preserve"> que un Entrenador intenta crear un entrenamiento. </t>
    </r>
    <r>
      <rPr>
        <b/>
        <sz val="11"/>
        <color rgb="FF000000"/>
        <rFont val="Aptos Narrow"/>
        <scheme val="minor"/>
      </rPr>
      <t>Cuando</t>
    </r>
    <r>
      <rPr>
        <sz val="11"/>
        <color rgb="FF000000"/>
        <rFont val="Aptos Narrow"/>
        <scheme val="minor"/>
      </rPr>
      <t xml:space="preserve"> ingrese la información completa del estudiante y sus variables. </t>
    </r>
    <r>
      <rPr>
        <b/>
        <sz val="11"/>
        <color rgb="FF000000"/>
        <rFont val="Aptos Narrow"/>
        <scheme val="minor"/>
      </rPr>
      <t>Entonces</t>
    </r>
    <r>
      <rPr>
        <sz val="11"/>
        <color rgb="FF000000"/>
        <rFont val="Aptos Narrow"/>
        <scheme val="minor"/>
      </rPr>
      <t xml:space="preserve"> el sistema notificar la creacion existosa del entrenamiento.</t>
    </r>
  </si>
  <si>
    <r>
      <t>Dado</t>
    </r>
    <r>
      <rPr>
        <sz val="11"/>
        <color theme="1"/>
        <rFont val="Aptos Narrow"/>
        <family val="2"/>
        <scheme val="minor"/>
      </rPr>
      <t xml:space="preserve"> que un Entrenador está en el formulario de creación de entrenamiento. </t>
    </r>
    <r>
      <rPr>
        <b/>
        <sz val="11"/>
        <color theme="1"/>
        <rFont val="Aptos Narrow"/>
        <family val="2"/>
        <scheme val="minor"/>
      </rPr>
      <t>Cuando</t>
    </r>
    <r>
      <rPr>
        <sz val="11"/>
        <color theme="1"/>
        <rFont val="Aptos Narrow"/>
        <family val="2"/>
        <scheme val="minor"/>
      </rPr>
      <t xml:space="preserve"> intenta asignar el entrenamiento a un estudiante que no existe en el sistema. </t>
    </r>
    <r>
      <rPr>
        <b/>
        <sz val="11"/>
        <color theme="1"/>
        <rFont val="Aptos Narrow"/>
        <family val="2"/>
        <scheme val="minor"/>
      </rPr>
      <t>Entonces</t>
    </r>
    <r>
      <rPr>
        <sz val="11"/>
        <color theme="1"/>
        <rFont val="Aptos Narrow"/>
        <family val="2"/>
        <scheme val="minor"/>
      </rPr>
      <t xml:space="preserve"> el sistema debe mostrar un error indicando que el estudiante no fue encontrado.</t>
    </r>
  </si>
  <si>
    <r>
      <t>Dado</t>
    </r>
    <r>
      <rPr>
        <sz val="11"/>
        <color theme="1"/>
        <rFont val="Aptos Narrow"/>
        <family val="2"/>
        <scheme val="minor"/>
      </rPr>
      <t xml:space="preserve"> que un Entrenador está creando un nuevo entrenamiento. </t>
    </r>
    <r>
      <rPr>
        <b/>
        <sz val="11"/>
        <color theme="1"/>
        <rFont val="Aptos Narrow"/>
        <family val="2"/>
        <scheme val="minor"/>
      </rPr>
      <t>Cuando</t>
    </r>
    <r>
      <rPr>
        <sz val="11"/>
        <color theme="1"/>
        <rFont val="Aptos Narrow"/>
        <family val="2"/>
        <scheme val="minor"/>
      </rPr>
      <t xml:space="preserve"> intenta incluir una variable cognitiva que no existe o que está marcada como inactiva en el sistema. </t>
    </r>
    <r>
      <rPr>
        <b/>
        <sz val="11"/>
        <color theme="1"/>
        <rFont val="Aptos Narrow"/>
        <family val="2"/>
        <scheme val="minor"/>
      </rPr>
      <t>Entonces</t>
    </r>
    <r>
      <rPr>
        <sz val="11"/>
        <color theme="1"/>
        <rFont val="Aptos Narrow"/>
        <family val="2"/>
        <scheme val="minor"/>
      </rPr>
      <t xml:space="preserve"> el sistema debe rechazar la creación y notificar al entrenador que una o más de las variables seleccionadas no son válidas.</t>
    </r>
  </si>
  <si>
    <r>
      <t>Dado</t>
    </r>
    <r>
      <rPr>
        <sz val="11"/>
        <color theme="1"/>
        <rFont val="Aptos Narrow"/>
        <family val="2"/>
        <scheme val="minor"/>
      </rPr>
      <t xml:space="preserve"> que un Entrenador está creando un nuevo entrenamiento para un estudiante. </t>
    </r>
    <r>
      <rPr>
        <b/>
        <sz val="11"/>
        <color theme="1"/>
        <rFont val="Aptos Narrow"/>
        <family val="2"/>
        <scheme val="minor"/>
      </rPr>
      <t>Cuando</t>
    </r>
    <r>
      <rPr>
        <sz val="11"/>
        <color theme="1"/>
        <rFont val="Aptos Narrow"/>
        <family val="2"/>
        <scheme val="minor"/>
      </rPr>
      <t xml:space="preserve"> intenta guardar el entrenamiento sin haber seleccionado al menos una variable cognitiva. </t>
    </r>
    <r>
      <rPr>
        <b/>
        <sz val="11"/>
        <color theme="1"/>
        <rFont val="Aptos Narrow"/>
        <family val="2"/>
        <scheme val="minor"/>
      </rPr>
      <t>Entonces</t>
    </r>
    <r>
      <rPr>
        <sz val="11"/>
        <color theme="1"/>
        <rFont val="Aptos Narrow"/>
        <family val="2"/>
        <scheme val="minor"/>
      </rPr>
      <t xml:space="preserve"> el sistema debe mostrar un mensaje de error indicando que se requiere seleccionar como mínimo una variable.</t>
    </r>
  </si>
  <si>
    <r>
      <t>Dado</t>
    </r>
    <r>
      <rPr>
        <sz val="11"/>
        <color theme="1"/>
        <rFont val="Aptos Narrow"/>
        <family val="2"/>
        <scheme val="minor"/>
      </rPr>
      <t xml:space="preserve"> que un Entrenador está en la interfaz para crear un nuevo entrenamiento. </t>
    </r>
    <r>
      <rPr>
        <b/>
        <sz val="11"/>
        <color theme="1"/>
        <rFont val="Aptos Narrow"/>
        <family val="2"/>
        <scheme val="minor"/>
      </rPr>
      <t>Cuando</t>
    </r>
    <r>
      <rPr>
        <sz val="11"/>
        <color theme="1"/>
        <rFont val="Aptos Narrow"/>
        <family val="2"/>
        <scheme val="minor"/>
      </rPr>
      <t xml:space="preserve"> necesita seleccionar las variables cognitivas. </t>
    </r>
    <r>
      <rPr>
        <b/>
        <sz val="11"/>
        <color theme="1"/>
        <rFont val="Aptos Narrow"/>
        <family val="2"/>
        <scheme val="minor"/>
      </rPr>
      <t>Entonces</t>
    </r>
    <r>
      <rPr>
        <sz val="11"/>
        <color theme="1"/>
        <rFont val="Aptos Narrow"/>
        <family val="2"/>
        <scheme val="minor"/>
      </rPr>
      <t xml:space="preserve"> el sistema debe presentarle únicamente la lista de variables que se encuentran "Activas" en el sistema.</t>
    </r>
  </si>
  <si>
    <r>
      <t>Dado</t>
    </r>
    <r>
      <rPr>
        <sz val="11"/>
        <color theme="1"/>
        <rFont val="Aptos Narrow"/>
        <family val="2"/>
        <scheme val="minor"/>
      </rPr>
      <t xml:space="preserve"> que un entrenamiento cognitivo ha sido completado y su estado es "Finalizado". </t>
    </r>
    <r>
      <rPr>
        <b/>
        <sz val="11"/>
        <color theme="1"/>
        <rFont val="Aptos Narrow"/>
        <family val="2"/>
        <scheme val="minor"/>
      </rPr>
      <t>Cuando</t>
    </r>
    <r>
      <rPr>
        <sz val="11"/>
        <color theme="1"/>
        <rFont val="Aptos Narrow"/>
        <family val="2"/>
        <scheme val="minor"/>
      </rPr>
      <t xml:space="preserve"> el Entrenador selecciona la opción "Generar informe final". </t>
    </r>
    <r>
      <rPr>
        <b/>
        <sz val="11"/>
        <color theme="1"/>
        <rFont val="Aptos Narrow"/>
        <family val="2"/>
        <scheme val="minor"/>
      </rPr>
      <t>Entonces</t>
    </r>
    <r>
      <rPr>
        <sz val="11"/>
        <color theme="1"/>
        <rFont val="Aptos Narrow"/>
        <family val="2"/>
        <scheme val="minor"/>
      </rPr>
      <t xml:space="preserve"> el sistema debe generar un informe detallado que incluya las métricas finales de rendimiento, un resumen de todas las sesiones y las observaciones registradas.</t>
    </r>
  </si>
  <si>
    <r>
      <rPr>
        <b/>
        <sz val="11"/>
        <color rgb="FF000000"/>
        <rFont val="Calibri"/>
      </rPr>
      <t>Dado</t>
    </r>
    <r>
      <rPr>
        <sz val="11"/>
        <color rgb="FF000000"/>
        <rFont val="Aptos Narrow"/>
        <scheme val="minor"/>
      </rPr>
      <t xml:space="preserve"> que se ha generado un informe (de progreso o final). </t>
    </r>
    <r>
      <rPr>
        <b/>
        <sz val="11"/>
        <color rgb="FF000000"/>
        <rFont val="Aptos Narrow"/>
        <scheme val="minor"/>
      </rPr>
      <t>Cuando</t>
    </r>
    <r>
      <rPr>
        <sz val="11"/>
        <color rgb="FF000000"/>
        <rFont val="Aptos Narrow"/>
        <scheme val="minor"/>
      </rPr>
      <t xml:space="preserve"> el Entrenador lo visualiza. </t>
    </r>
    <r>
      <rPr>
        <b/>
        <sz val="11"/>
        <color rgb="FF000000"/>
        <rFont val="Aptos Narrow"/>
        <scheme val="minor"/>
      </rPr>
      <t>Entonces</t>
    </r>
    <r>
      <rPr>
        <sz val="11"/>
        <color rgb="FF000000"/>
        <rFont val="Aptos Narrow"/>
        <scheme val="minor"/>
      </rPr>
      <t xml:space="preserve"> el informe debe incluir claramente los datos del estudiante  y los datos del entrenador</t>
    </r>
  </si>
  <si>
    <r>
      <rPr>
        <b/>
        <sz val="11"/>
        <color rgb="FF000000"/>
        <rFont val="Calibri"/>
      </rPr>
      <t>Dado</t>
    </r>
    <r>
      <rPr>
        <sz val="11"/>
        <color rgb="FF000000"/>
        <rFont val="Aptos Narrow"/>
        <scheme val="minor"/>
      </rPr>
      <t xml:space="preserve"> que un Entrenador necesita compartir un informe. </t>
    </r>
    <r>
      <rPr>
        <b/>
        <sz val="11"/>
        <color rgb="FF000000"/>
        <rFont val="Aptos Narrow"/>
        <scheme val="minor"/>
      </rPr>
      <t>Cuando</t>
    </r>
    <r>
      <rPr>
        <sz val="11"/>
        <color rgb="FF000000"/>
        <rFont val="Aptos Narrow"/>
        <scheme val="minor"/>
      </rPr>
      <t xml:space="preserve"> genera un informe de progreso o final. </t>
    </r>
    <r>
      <rPr>
        <b/>
        <sz val="11"/>
        <color rgb="FF000000"/>
        <rFont val="Aptos Narrow"/>
        <scheme val="minor"/>
      </rPr>
      <t>Entonces</t>
    </r>
    <r>
      <rPr>
        <sz val="11"/>
        <color rgb="FF000000"/>
        <rFont val="Aptos Narrow"/>
        <scheme val="minor"/>
      </rPr>
      <t xml:space="preserve"> el sistema debe ofrecer una opción para exportar o descargar dicho informe en un formato estándar (como XLSX).</t>
    </r>
  </si>
  <si>
    <r>
      <rPr>
        <b/>
        <sz val="11"/>
        <color rgb="FF000000"/>
        <rFont val="Calibri"/>
      </rPr>
      <t>Dado</t>
    </r>
    <r>
      <rPr>
        <sz val="11"/>
        <color rgb="FF000000"/>
        <rFont val="Aptos Narrow"/>
        <scheme val="minor"/>
      </rPr>
      <t xml:space="preserve"> que un Entrenador está viendo el detalle de una variable cognitiva de un estudiante. </t>
    </r>
    <r>
      <rPr>
        <b/>
        <sz val="11"/>
        <color rgb="FF000000"/>
        <rFont val="Aptos Narrow"/>
        <scheme val="minor"/>
      </rPr>
      <t>Cuando</t>
    </r>
    <r>
      <rPr>
        <sz val="11"/>
        <color rgb="FF000000"/>
        <rFont val="Aptos Narrow"/>
        <scheme val="minor"/>
      </rPr>
      <t xml:space="preserve"> selecciona la opción "Ver historial de sesiones". </t>
    </r>
    <r>
      <rPr>
        <b/>
        <sz val="11"/>
        <color rgb="FF000000"/>
        <rFont val="Aptos Narrow"/>
        <scheme val="minor"/>
      </rPr>
      <t>Entonces</t>
    </r>
    <r>
      <rPr>
        <sz val="11"/>
        <color rgb="FF000000"/>
        <rFont val="Aptos Narrow"/>
        <scheme val="minor"/>
      </rPr>
      <t xml:space="preserve"> el sistema debe mostrarle una lista  de todas las sesiones asociadas a esa variable.</t>
    </r>
  </si>
  <si>
    <r>
      <t>Dado</t>
    </r>
    <r>
      <rPr>
        <sz val="11"/>
        <color theme="1"/>
        <rFont val="Aptos Narrow"/>
        <family val="2"/>
        <scheme val="minor"/>
      </rPr>
      <t xml:space="preserve"> que un Entrenador está viendo el historial de sesiones. </t>
    </r>
    <r>
      <rPr>
        <b/>
        <sz val="11"/>
        <color theme="1"/>
        <rFont val="Aptos Narrow"/>
        <family val="2"/>
        <scheme val="minor"/>
      </rPr>
      <t>Cuando</t>
    </r>
    <r>
      <rPr>
        <sz val="11"/>
        <color theme="1"/>
        <rFont val="Aptos Narrow"/>
        <family val="2"/>
        <scheme val="minor"/>
      </rPr>
      <t xml:space="preserve"> inspecciona una sesión de la lista. </t>
    </r>
    <r>
      <rPr>
        <b/>
        <sz val="11"/>
        <color theme="1"/>
        <rFont val="Aptos Narrow"/>
        <family val="2"/>
        <scheme val="minor"/>
      </rPr>
      <t>Entonces</t>
    </r>
    <r>
      <rPr>
        <sz val="11"/>
        <color theme="1"/>
        <rFont val="Aptos Narrow"/>
        <family val="2"/>
        <scheme val="minor"/>
      </rPr>
      <t xml:space="preserve"> el sistema debe mostrar claramente el número de la sesión, su estado (ej: "Finalizado", "Por Iniciar"), la fecha de inicio, la fecha de fin y las observaciones registradas.</t>
    </r>
  </si>
  <si>
    <r>
      <t>Dado</t>
    </r>
    <r>
      <rPr>
        <sz val="11"/>
        <color theme="1"/>
        <rFont val="Aptos Narrow"/>
        <family val="2"/>
        <scheme val="minor"/>
      </rPr>
      <t xml:space="preserve"> que un Entrenador está revisando una variable cognitiva para la cual aún no se han creado sesiones. </t>
    </r>
    <r>
      <rPr>
        <b/>
        <sz val="11"/>
        <color theme="1"/>
        <rFont val="Aptos Narrow"/>
        <family val="2"/>
        <scheme val="minor"/>
      </rPr>
      <t>Cuando</t>
    </r>
    <r>
      <rPr>
        <sz val="11"/>
        <color theme="1"/>
        <rFont val="Aptos Narrow"/>
        <family val="2"/>
        <scheme val="minor"/>
      </rPr>
      <t xml:space="preserve"> intenta consultar el historial. </t>
    </r>
    <r>
      <rPr>
        <b/>
        <sz val="11"/>
        <color theme="1"/>
        <rFont val="Aptos Narrow"/>
        <family val="2"/>
        <scheme val="minor"/>
      </rPr>
      <t>Entonces</t>
    </r>
    <r>
      <rPr>
        <sz val="11"/>
        <color theme="1"/>
        <rFont val="Aptos Narrow"/>
        <family val="2"/>
        <scheme val="minor"/>
      </rPr>
      <t xml:space="preserve"> el sistema debe mostrar un mensaje claro indicando que "No existen sesiones programadas para esta variable".</t>
    </r>
  </si>
  <si>
    <r>
      <t>Dado</t>
    </r>
    <r>
      <rPr>
        <sz val="11"/>
        <color rgb="FF000000"/>
        <rFont val="Calibri"/>
      </rPr>
      <t xml:space="preserve"> que un Entrenador está en el formulario de creación de entrenamiento. </t>
    </r>
    <r>
      <rPr>
        <b/>
        <sz val="11"/>
        <color rgb="FF000000"/>
        <rFont val="Calibri"/>
      </rPr>
      <t>Cuando</t>
    </r>
    <r>
      <rPr>
        <sz val="11"/>
        <color rgb="FF000000"/>
        <rFont val="Calibri"/>
      </rPr>
      <t xml:space="preserve"> intenta asignar el entrenamiento a un estudiante que no existe en el sistema. </t>
    </r>
    <r>
      <rPr>
        <b/>
        <sz val="11"/>
        <color rgb="FF000000"/>
        <rFont val="Calibri"/>
      </rPr>
      <t>Entonces</t>
    </r>
    <r>
      <rPr>
        <sz val="11"/>
        <color rgb="FF000000"/>
        <rFont val="Calibri"/>
      </rPr>
      <t xml:space="preserve"> el sistema debe mostrar un error indicando que el estudiante no fue encontrado.</t>
    </r>
  </si>
  <si>
    <r>
      <t>Dado</t>
    </r>
    <r>
      <rPr>
        <sz val="11"/>
        <color theme="1"/>
        <rFont val="Calibri"/>
      </rPr>
      <t xml:space="preserve"> que un Entrenador está creando un nuevo entrenamiento. </t>
    </r>
    <r>
      <rPr>
        <b/>
        <sz val="11"/>
        <color theme="1"/>
        <rFont val="Calibri"/>
      </rPr>
      <t>Cuando</t>
    </r>
    <r>
      <rPr>
        <sz val="11"/>
        <color theme="1"/>
        <rFont val="Calibri"/>
      </rPr>
      <t xml:space="preserve"> intenta incluir una variable cognitiva que no existe o que está marcada como inactiva en el sistema. </t>
    </r>
    <r>
      <rPr>
        <b/>
        <sz val="11"/>
        <color theme="1"/>
        <rFont val="Calibri"/>
      </rPr>
      <t>Entonces</t>
    </r>
    <r>
      <rPr>
        <sz val="11"/>
        <color theme="1"/>
        <rFont val="Calibri"/>
      </rPr>
      <t xml:space="preserve"> el sistema debe rechazar la creación y notificar al entrenador que una o más de las variables seleccionadas no son válidas.</t>
    </r>
  </si>
  <si>
    <r>
      <t>Dado</t>
    </r>
    <r>
      <rPr>
        <sz val="11"/>
        <color theme="1"/>
        <rFont val="Calibri"/>
      </rPr>
      <t xml:space="preserve"> que un Entrenador está creando un nuevo entrenamiento para un estudiante. </t>
    </r>
    <r>
      <rPr>
        <b/>
        <sz val="11"/>
        <color theme="1"/>
        <rFont val="Calibri"/>
      </rPr>
      <t>Cuando</t>
    </r>
    <r>
      <rPr>
        <sz val="11"/>
        <color theme="1"/>
        <rFont val="Calibri"/>
      </rPr>
      <t xml:space="preserve"> intenta guardar el entrenamiento sin haber seleccionado al menos una variable cognitiva. </t>
    </r>
    <r>
      <rPr>
        <b/>
        <sz val="11"/>
        <color theme="1"/>
        <rFont val="Calibri"/>
      </rPr>
      <t>Entonces</t>
    </r>
    <r>
      <rPr>
        <sz val="11"/>
        <color theme="1"/>
        <rFont val="Calibri"/>
      </rPr>
      <t xml:space="preserve"> el sistema debe mostrar un mensaje de error indicando que se requiere seleccionar como mínimo una variable.</t>
    </r>
  </si>
  <si>
    <r>
      <t>Dado</t>
    </r>
    <r>
      <rPr>
        <sz val="11"/>
        <color theme="1"/>
        <rFont val="Calibri"/>
      </rPr>
      <t xml:space="preserve"> que un Entrenador está en la interfaz para crear un nuevo entrenamiento. </t>
    </r>
    <r>
      <rPr>
        <b/>
        <sz val="11"/>
        <color theme="1"/>
        <rFont val="Calibri"/>
      </rPr>
      <t>Cuando</t>
    </r>
    <r>
      <rPr>
        <sz val="11"/>
        <color theme="1"/>
        <rFont val="Calibri"/>
      </rPr>
      <t xml:space="preserve"> necesita seleccionar las variables cognitivas. </t>
    </r>
    <r>
      <rPr>
        <b/>
        <sz val="11"/>
        <color theme="1"/>
        <rFont val="Calibri"/>
      </rPr>
      <t>Entonces</t>
    </r>
    <r>
      <rPr>
        <sz val="11"/>
        <color theme="1"/>
        <rFont val="Calibri"/>
      </rPr>
      <t xml:space="preserve"> el sistema debe presentarle únicamente la lista de variables que se encuentran "Activas" en el sistema.</t>
    </r>
  </si>
  <si>
    <r>
      <t>Dado</t>
    </r>
    <r>
      <rPr>
        <sz val="11"/>
        <color rgb="FF000000"/>
        <rFont val="Calibri"/>
      </rPr>
      <t xml:space="preserve"> que un Entrenador está en la interfaz para crear un nuevo entrenamiento. </t>
    </r>
    <r>
      <rPr>
        <b/>
        <sz val="11"/>
        <color rgb="FF000000"/>
        <rFont val="Calibri"/>
      </rPr>
      <t xml:space="preserve">Cuando </t>
    </r>
    <r>
      <rPr>
        <sz val="11"/>
        <color rgb="FF000000"/>
        <rFont val="Calibri"/>
      </rPr>
      <t xml:space="preserve">necesita seleccionar una fecha de inicio. </t>
    </r>
    <r>
      <rPr>
        <b/>
        <sz val="11"/>
        <color rgb="FF000000"/>
        <rFont val="Calibri"/>
      </rPr>
      <t>Entonces</t>
    </r>
    <r>
      <rPr>
        <sz val="11"/>
        <color rgb="FF000000"/>
        <rFont val="Calibri"/>
      </rPr>
      <t xml:space="preserve"> el sistema debe presentarle una forma de ingresar la fecha planteada para iniciar el entrenamiento.</t>
    </r>
  </si>
  <si>
    <r>
      <t>Dado</t>
    </r>
    <r>
      <rPr>
        <sz val="11"/>
        <color theme="1"/>
        <rFont val="Calibri"/>
      </rPr>
      <t xml:space="preserve"> que un Entrenador está viendo el detalle de un entrenamiento que está "En Progreso" o "Por Iniciar". </t>
    </r>
    <r>
      <rPr>
        <b/>
        <sz val="11"/>
        <color theme="1"/>
        <rFont val="Calibri"/>
      </rPr>
      <t>Cuando</t>
    </r>
    <r>
      <rPr>
        <sz val="11"/>
        <color theme="1"/>
        <rFont val="Calibri"/>
      </rPr>
      <t xml:space="preserve"> selecciona la opción de añadir una nueva variable cognitiva válida. </t>
    </r>
    <r>
      <rPr>
        <b/>
        <sz val="11"/>
        <color theme="1"/>
        <rFont val="Calibri"/>
      </rPr>
      <t>Entonces</t>
    </r>
    <r>
      <rPr>
        <sz val="11"/>
        <color theme="1"/>
        <rFont val="Calibri"/>
      </rPr>
      <t xml:space="preserve"> el sistema debe agregar esa variable al plan del estudiante en estado "Por Iniciar", sin afectar las demás.</t>
    </r>
  </si>
  <si>
    <r>
      <t>Dado</t>
    </r>
    <r>
      <rPr>
        <sz val="11"/>
        <color theme="1"/>
        <rFont val="Calibri"/>
      </rPr>
      <t xml:space="preserve"> que un Entrenador está editando un entrenamiento. </t>
    </r>
    <r>
      <rPr>
        <b/>
        <sz val="11"/>
        <color theme="1"/>
        <rFont val="Calibri"/>
      </rPr>
      <t>Cuando</t>
    </r>
    <r>
      <rPr>
        <sz val="11"/>
        <color theme="1"/>
        <rFont val="Calibri"/>
      </rPr>
      <t xml:space="preserve"> intenta quitar una variable cognitiva que aún se encuentra en estado "Por Iniciar". </t>
    </r>
    <r>
      <rPr>
        <b/>
        <sz val="11"/>
        <color theme="1"/>
        <rFont val="Calibri"/>
      </rPr>
      <t>Entonces</t>
    </r>
    <r>
      <rPr>
        <sz val="11"/>
        <color theme="1"/>
        <rFont val="Calibri"/>
      </rPr>
      <t xml:space="preserve"> el sistema debe eliminarla del plan de entrenamiento del estudiante.</t>
    </r>
  </si>
  <si>
    <r>
      <t>Dado</t>
    </r>
    <r>
      <rPr>
        <sz val="11"/>
        <color theme="1"/>
        <rFont val="Calibri"/>
      </rPr>
      <t xml:space="preserve"> que un Entrenador está gestionando un entrenamiento que ya tiene el estado "Finalizado" o "Abandono". </t>
    </r>
    <r>
      <rPr>
        <b/>
        <sz val="11"/>
        <color theme="1"/>
        <rFont val="Calibri"/>
      </rPr>
      <t>Cuando</t>
    </r>
    <r>
      <rPr>
        <sz val="11"/>
        <color theme="1"/>
        <rFont val="Calibri"/>
      </rPr>
      <t xml:space="preserve"> intenta añadir o quitar una variable cognitiva. </t>
    </r>
    <r>
      <rPr>
        <b/>
        <sz val="11"/>
        <color theme="1"/>
        <rFont val="Calibri"/>
      </rPr>
      <t>Entonces</t>
    </r>
    <r>
      <rPr>
        <sz val="11"/>
        <color theme="1"/>
        <rFont val="Calibri"/>
      </rPr>
      <t xml:space="preserve"> el sistema debe impedir la acción y mostrar un mensaje indicando que el entrenamiento no se puede modificar porque ya ha concluido.</t>
    </r>
  </si>
  <si>
    <r>
      <t>Dado</t>
    </r>
    <r>
      <rPr>
        <sz val="11"/>
        <color theme="1"/>
        <rFont val="Calibri"/>
      </rPr>
      <t xml:space="preserve"> que un Entrenador está editando un entrenamiento que solo tiene una variable cognitiva asignada. </t>
    </r>
    <r>
      <rPr>
        <b/>
        <sz val="11"/>
        <color theme="1"/>
        <rFont val="Calibri"/>
      </rPr>
      <t>Cuando</t>
    </r>
    <r>
      <rPr>
        <sz val="11"/>
        <color theme="1"/>
        <rFont val="Calibri"/>
      </rPr>
      <t xml:space="preserve"> intenta quitar esa última variable. </t>
    </r>
    <r>
      <rPr>
        <b/>
        <sz val="11"/>
        <color theme="1"/>
        <rFont val="Calibri"/>
      </rPr>
      <t>Entonces</t>
    </r>
    <r>
      <rPr>
        <sz val="11"/>
        <color theme="1"/>
        <rFont val="Calibri"/>
      </rPr>
      <t xml:space="preserve"> el sistema debe rechazar la acción y mostrar un error que indique que el entrenamiento no puede quedar sin variables.</t>
    </r>
  </si>
  <si>
    <r>
      <t>Dado</t>
    </r>
    <r>
      <rPr>
        <sz val="11"/>
        <color theme="1"/>
        <rFont val="Calibri"/>
      </rPr>
      <t xml:space="preserve"> que un Entrenador está editando un entrenamiento. </t>
    </r>
    <r>
      <rPr>
        <b/>
        <sz val="11"/>
        <color theme="1"/>
        <rFont val="Calibri"/>
      </rPr>
      <t>Cuando</t>
    </r>
    <r>
      <rPr>
        <sz val="11"/>
        <color theme="1"/>
        <rFont val="Calibri"/>
      </rPr>
      <t xml:space="preserve"> intenta quitar una variable cognitiva cuyo estado ya es "Finalizado". </t>
    </r>
    <r>
      <rPr>
        <b/>
        <sz val="11"/>
        <color theme="1"/>
        <rFont val="Calibri"/>
      </rPr>
      <t>Entonces</t>
    </r>
    <r>
      <rPr>
        <sz val="11"/>
        <color theme="1"/>
        <rFont val="Calibri"/>
      </rPr>
      <t xml:space="preserve"> el sistema debe impedir la acción y mostrar un mensaje que indique que las variables ya completadas no se pueden eliminar.</t>
    </r>
  </si>
  <si>
    <r>
      <rPr>
        <b/>
        <sz val="11"/>
        <color rgb="FF000000"/>
        <rFont val="Calibri"/>
      </rPr>
      <t>Nota</t>
    </r>
    <r>
      <rPr>
        <sz val="11"/>
        <color rgb="FF000000"/>
        <rFont val="Calibri"/>
      </rPr>
      <t>: Por acuerdo con el Product Owner, el alcance de esta historia se simplificó. En lugar de programar sesiones a futuro, el Entrenador iniciará las sesiones de forma inmediata a través de un botón de 'play' para agilizar el desarrollo.</t>
    </r>
  </si>
  <si>
    <r>
      <t>Dado</t>
    </r>
    <r>
      <rPr>
        <sz val="11"/>
        <color theme="1"/>
        <rFont val="Calibri"/>
      </rPr>
      <t xml:space="preserve"> que un Entrenador está viendo una variable cognitiva que está "En Progreso" para un estudiante. </t>
    </r>
    <r>
      <rPr>
        <b/>
        <sz val="11"/>
        <color theme="1"/>
        <rFont val="Calibri"/>
      </rPr>
      <t>Cuando</t>
    </r>
    <r>
      <rPr>
        <sz val="11"/>
        <color theme="1"/>
        <rFont val="Calibri"/>
      </rPr>
      <t xml:space="preserve"> presiona el botón "Iniciar nueva sesión". </t>
    </r>
    <r>
      <rPr>
        <b/>
        <sz val="11"/>
        <color theme="1"/>
        <rFont val="Calibri"/>
      </rPr>
      <t>Entonces</t>
    </r>
    <r>
      <rPr>
        <sz val="11"/>
        <color theme="1"/>
        <rFont val="Calibri"/>
      </rPr>
      <t xml:space="preserve"> el sistema debe crear una nueva sesión con la fecha y hora actual, ponerla en estado "En Progreso" y permitir que el estudiante comience las actividades.</t>
    </r>
  </si>
  <si>
    <r>
      <t>Dado</t>
    </r>
    <r>
      <rPr>
        <sz val="11"/>
        <color theme="1"/>
        <rFont val="Calibri"/>
      </rPr>
      <t xml:space="preserve"> que una variable cognitiva ya ha sido marcada como "Finalizada" o "Abandono". </t>
    </r>
    <r>
      <rPr>
        <b/>
        <sz val="11"/>
        <color theme="1"/>
        <rFont val="Calibri"/>
      </rPr>
      <t>Cuando</t>
    </r>
    <r>
      <rPr>
        <sz val="11"/>
        <color theme="1"/>
        <rFont val="Calibri"/>
      </rPr>
      <t xml:space="preserve"> el Entrenador visualiza esa variable. </t>
    </r>
    <r>
      <rPr>
        <b/>
        <sz val="11"/>
        <color theme="1"/>
        <rFont val="Calibri"/>
      </rPr>
      <t>Entonces</t>
    </r>
    <r>
      <rPr>
        <sz val="11"/>
        <color theme="1"/>
        <rFont val="Calibri"/>
      </rPr>
      <t xml:space="preserve"> el botón para "Iniciar nueva sesión" no debe estar visible o debe aparecer deshabilitado.</t>
    </r>
  </si>
  <si>
    <r>
      <t>Dado</t>
    </r>
    <r>
      <rPr>
        <sz val="11"/>
        <color theme="1"/>
        <rFont val="Calibri"/>
      </rPr>
      <t xml:space="preserve"> que un Entrenador inicia una nueva sesión. </t>
    </r>
    <r>
      <rPr>
        <b/>
        <sz val="11"/>
        <color theme="1"/>
        <rFont val="Calibri"/>
      </rPr>
      <t>Cuando</t>
    </r>
    <r>
      <rPr>
        <sz val="11"/>
        <color theme="1"/>
        <rFont val="Calibri"/>
      </rPr>
      <t xml:space="preserve"> el sistema crea el nuevo registro de sesión. </t>
    </r>
    <r>
      <rPr>
        <b/>
        <sz val="11"/>
        <color theme="1"/>
        <rFont val="Calibri"/>
      </rPr>
      <t>Entonces</t>
    </r>
    <r>
      <rPr>
        <sz val="11"/>
        <color theme="1"/>
        <rFont val="Calibri"/>
      </rPr>
      <t xml:space="preserve"> el número de sesión asignado debe ser secuencial y corresponder al siguiente número para esa variable cognitiva (ej. si ya existían 3 sesiones, esta debe ser la número 4).</t>
    </r>
  </si>
  <si>
    <r>
      <t>Dado</t>
    </r>
    <r>
      <rPr>
        <sz val="11"/>
        <color theme="1"/>
        <rFont val="Cali"/>
      </rPr>
      <t xml:space="preserve"> que un Estudiante está viendo su lista de entrenamientos. </t>
    </r>
    <r>
      <rPr>
        <b/>
        <sz val="11"/>
        <color theme="1"/>
        <rFont val="Cali"/>
      </rPr>
      <t>Cuando</t>
    </r>
    <r>
      <rPr>
        <sz val="11"/>
        <color theme="1"/>
        <rFont val="Cali"/>
      </rPr>
      <t xml:space="preserve"> selecciona una variable cognitiva que tiene asignada. </t>
    </r>
    <r>
      <rPr>
        <b/>
        <sz val="11"/>
        <color theme="1"/>
        <rFont val="Cali"/>
      </rPr>
      <t>Entonces</t>
    </r>
    <r>
      <rPr>
        <sz val="11"/>
        <color theme="1"/>
        <rFont val="Cali"/>
      </rPr>
      <t xml:space="preserve"> el sistema debe mostrarle una pantalla de detalle para esa variable, con su nombre, descripción, y la lista de sus sesiones de entrenamiento.</t>
    </r>
  </si>
  <si>
    <r>
      <t>Dado</t>
    </r>
    <r>
      <rPr>
        <sz val="11"/>
        <color theme="1"/>
        <rFont val="Cali"/>
      </rPr>
      <t xml:space="preserve"> que un Estudiante está en la pantalla de detalle de una variable. </t>
    </r>
    <r>
      <rPr>
        <b/>
        <sz val="11"/>
        <color theme="1"/>
        <rFont val="Cali"/>
      </rPr>
      <t>Cuando</t>
    </r>
    <r>
      <rPr>
        <sz val="11"/>
        <color theme="1"/>
        <rFont val="Cali"/>
      </rPr>
      <t xml:space="preserve"> revisa la lista de sesiones. </t>
    </r>
    <r>
      <rPr>
        <b/>
        <sz val="11"/>
        <color theme="1"/>
        <rFont val="Cali"/>
      </rPr>
      <t>Entonces</t>
    </r>
    <r>
      <rPr>
        <sz val="11"/>
        <color theme="1"/>
        <rFont val="Cali"/>
      </rPr>
      <t xml:space="preserve"> el sistema debe diferenciar visualmente el estado de cada sesión (ej: 'Completada', 'Pendiente', 'En Curso').</t>
    </r>
  </si>
  <si>
    <r>
      <t>Dado</t>
    </r>
    <r>
      <rPr>
        <sz val="11"/>
        <color theme="1"/>
        <rFont val="Cali"/>
      </rPr>
      <t xml:space="preserve"> que un Estudiante intenta acceder a una variable cognitiva que no le ha sido asignada (por ejemplo, a través de una URL directa). </t>
    </r>
    <r>
      <rPr>
        <b/>
        <sz val="11"/>
        <color theme="1"/>
        <rFont val="Cali"/>
      </rPr>
      <t>Cuando</t>
    </r>
    <r>
      <rPr>
        <sz val="11"/>
        <color theme="1"/>
        <rFont val="Cali"/>
      </rPr>
      <t xml:space="preserve"> realiza la solicitud. </t>
    </r>
    <r>
      <rPr>
        <b/>
        <sz val="11"/>
        <color theme="1"/>
        <rFont val="Cali"/>
      </rPr>
      <t>Entonces</t>
    </r>
    <r>
      <rPr>
        <sz val="11"/>
        <color theme="1"/>
        <rFont val="Cali"/>
      </rPr>
      <t xml:space="preserve"> el sistema debe denegarle el acceso y mostrar un error de permisos o de "no encontrado".</t>
    </r>
  </si>
  <si>
    <r>
      <t>Dado</t>
    </r>
    <r>
      <rPr>
        <sz val="11"/>
        <color theme="1"/>
        <rFont val="Calibri"/>
      </rPr>
      <t xml:space="preserve"> que un Estudiante está viendo una variable cognitiva que se encuentra "En Progreso". </t>
    </r>
    <r>
      <rPr>
        <b/>
        <sz val="11"/>
        <color theme="1"/>
        <rFont val="Calibri"/>
      </rPr>
      <t>Cuando</t>
    </r>
    <r>
      <rPr>
        <sz val="11"/>
        <color theme="1"/>
        <rFont val="Calibri"/>
      </rPr>
      <t xml:space="preserve"> selecciona la opción para "Abandonar variable" y confirma su decisión. </t>
    </r>
    <r>
      <rPr>
        <b/>
        <sz val="11"/>
        <color theme="1"/>
        <rFont val="Calibri"/>
      </rPr>
      <t>Entonces</t>
    </r>
    <r>
      <rPr>
        <sz val="11"/>
        <color theme="1"/>
        <rFont val="Calibri"/>
      </rPr>
      <t xml:space="preserve"> el sistema debe cambiar el estado de esa variable a "Abandono" y ya no podrá iniciar nuevas sesiones para ella.</t>
    </r>
  </si>
  <si>
    <r>
      <t>Dado</t>
    </r>
    <r>
      <rPr>
        <sz val="11"/>
        <color theme="1"/>
        <rFont val="Calibri"/>
      </rPr>
      <t xml:space="preserve"> que un Estudiante abandona la última variable que le quedaba en su entrenamiento. </t>
    </r>
    <r>
      <rPr>
        <b/>
        <sz val="11"/>
        <color theme="1"/>
        <rFont val="Calibri"/>
      </rPr>
      <t>Cuando</t>
    </r>
    <r>
      <rPr>
        <sz val="11"/>
        <color theme="1"/>
        <rFont val="Calibri"/>
      </rPr>
      <t xml:space="preserve"> la variable es marcada como "Abandono". </t>
    </r>
    <r>
      <rPr>
        <b/>
        <sz val="11"/>
        <color theme="1"/>
        <rFont val="Calibri"/>
      </rPr>
      <t>Entonces</t>
    </r>
    <r>
      <rPr>
        <sz val="11"/>
        <color theme="1"/>
        <rFont val="Calibri"/>
      </rPr>
      <t xml:space="preserve"> el sistema debe actualizar el estado del entrenamiento cognitivo general a "Abandono".</t>
    </r>
  </si>
  <si>
    <r>
      <t>Dado</t>
    </r>
    <r>
      <rPr>
        <sz val="11"/>
        <color rgb="FF000000"/>
        <rFont val="Calibri"/>
      </rPr>
      <t xml:space="preserve"> que un Estudiante está viendo una variable cognitiva que ya completó (estado "Finalizado"). </t>
    </r>
    <r>
      <rPr>
        <b/>
        <sz val="11"/>
        <color rgb="FF000000"/>
        <rFont val="Calibri"/>
      </rPr>
      <t>Cuando</t>
    </r>
    <r>
      <rPr>
        <sz val="11"/>
        <color rgb="FF000000"/>
        <rFont val="Calibri"/>
      </rPr>
      <t xml:space="preserve"> busca la opción para abandonarla. </t>
    </r>
    <r>
      <rPr>
        <b/>
        <sz val="11"/>
        <color rgb="FF000000"/>
        <rFont val="Calibri"/>
      </rPr>
      <t>Entonces</t>
    </r>
    <r>
      <rPr>
        <sz val="11"/>
        <color rgb="FF000000"/>
        <rFont val="Calibri"/>
      </rPr>
      <t xml:space="preserve"> el sistema no le debe permitir abandonar</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</si>
  <si>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ingresa un tipo y número de documento que ya existen en el sistema. </t>
    </r>
    <r>
      <rPr>
        <b/>
        <sz val="11"/>
        <color theme="1"/>
        <rFont val="Aptos Narrow"/>
        <family val="2"/>
        <scheme val="minor"/>
      </rPr>
      <t>Entonces</t>
    </r>
    <r>
      <rPr>
        <sz val="11"/>
        <color theme="1"/>
        <rFont val="Aptos Narrow"/>
        <family val="2"/>
        <scheme val="minor"/>
      </rPr>
      <t xml:space="preserve"> el sistema debe rechazar la solicitud y mostrar un error indicando que el estudiante ya se encuentra registrado.</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</si>
  <si>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ingresa una dirección de correo electrónico que ya está en uso. </t>
    </r>
    <r>
      <rPr>
        <b/>
        <sz val="11"/>
        <color theme="1"/>
        <rFont val="Aptos Narrow"/>
        <family val="2"/>
        <scheme val="minor"/>
      </rPr>
      <t>Entonces</t>
    </r>
    <r>
      <rPr>
        <sz val="11"/>
        <color theme="1"/>
        <rFont val="Aptos Narrow"/>
        <family val="2"/>
        <scheme val="minor"/>
      </rPr>
      <t xml:space="preserve"> el sistema debe rechazar la solicitud y mostrar un error indicando que el correo electrónico ya está registrado.</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</si>
  <si>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intenta registrarlo sin asignarle al menos un programa académico. </t>
    </r>
    <r>
      <rPr>
        <b/>
        <sz val="11"/>
        <color theme="1"/>
        <rFont val="Aptos Narrow"/>
        <family val="2"/>
        <scheme val="minor"/>
      </rPr>
      <t>Entonces</t>
    </r>
    <r>
      <rPr>
        <sz val="11"/>
        <color theme="1"/>
        <rFont val="Aptos Narrow"/>
        <family val="2"/>
        <scheme val="minor"/>
      </rPr>
      <t xml:space="preserve"> el sistema debe mostrar un error indicando que se debe seleccionar como mínimo un programa.</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</si>
  <si>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selecciona un programa académico que no es válido o no existe en la lista de programas. </t>
    </r>
    <r>
      <rPr>
        <b/>
        <sz val="11"/>
        <color theme="1"/>
        <rFont val="Aptos Narrow"/>
        <family val="2"/>
        <scheme val="minor"/>
      </rPr>
      <t>Entonces</t>
    </r>
    <r>
      <rPr>
        <sz val="11"/>
        <color theme="1"/>
        <rFont val="Aptos Narrow"/>
        <family val="2"/>
        <scheme val="minor"/>
      </rPr>
      <t xml:space="preserve"> el sistema debe rechazar el registro y mostrar un error que indique que el programa no es válido.</t>
    </r>
  </si>
  <si>
    <r>
      <t>Dado</t>
    </r>
    <r>
      <rPr>
        <sz val="11"/>
        <color rgb="FF000000"/>
        <rFont val="Calibri"/>
      </rPr>
      <t xml:space="preserve"> que un Entrenador está viendo una variable cognitiva "En Progreso" de un estudiante. </t>
    </r>
    <r>
      <rPr>
        <b/>
        <sz val="11"/>
        <color rgb="FF000000"/>
        <rFont val="Calibri"/>
      </rPr>
      <t>Cuando</t>
    </r>
    <r>
      <rPr>
        <sz val="11"/>
        <color rgb="FF000000"/>
        <rFont val="Calibri"/>
      </rPr>
      <t xml:space="preserve"> selecciona la opción "Abandonar" para esa variable. </t>
    </r>
    <r>
      <rPr>
        <b/>
        <sz val="11"/>
        <color rgb="FF000000"/>
        <rFont val="Calibri"/>
      </rPr>
      <t>Entonces</t>
    </r>
    <r>
      <rPr>
        <sz val="11"/>
        <color rgb="FF000000"/>
        <rFont val="Calibri"/>
      </rPr>
      <t xml:space="preserve"> el sistema debe cambiar el estado de la variable a "Abandono", y ya no se podrán iniciar nuevas sesiones para ella.</t>
    </r>
  </si>
  <si>
    <r>
      <t>Dado</t>
    </r>
    <r>
      <rPr>
        <sz val="11"/>
        <color theme="1"/>
        <rFont val="Calibri"/>
      </rPr>
      <t xml:space="preserve"> que un Entrenador abandona la última variable que le quedaba activa a un estudiante en su entrenamiento. </t>
    </r>
    <r>
      <rPr>
        <b/>
        <sz val="11"/>
        <color theme="1"/>
        <rFont val="Calibri"/>
      </rPr>
      <t>Cuando</t>
    </r>
    <r>
      <rPr>
        <sz val="11"/>
        <color theme="1"/>
        <rFont val="Calibri"/>
      </rPr>
      <t xml:space="preserve"> la variable es marcada como "Abandono". </t>
    </r>
    <r>
      <rPr>
        <b/>
        <sz val="11"/>
        <color theme="1"/>
        <rFont val="Calibri"/>
      </rPr>
      <t>Entonces</t>
    </r>
    <r>
      <rPr>
        <sz val="11"/>
        <color theme="1"/>
        <rFont val="Calibri"/>
      </rPr>
      <t xml:space="preserve"> el sistema debe actualizar también el estado del entrenamiento cognitivo general a "Abandono".</t>
    </r>
  </si>
  <si>
    <r>
      <t>Dado</t>
    </r>
    <r>
      <rPr>
        <sz val="11"/>
        <color rgb="FF000000"/>
        <rFont val="Calibri"/>
      </rPr>
      <t xml:space="preserve"> que un Entrenador está viendo una variable que el estudiante ya completó . </t>
    </r>
    <r>
      <rPr>
        <b/>
        <sz val="11"/>
        <color rgb="FF000000"/>
        <rFont val="Calibri"/>
      </rPr>
      <t>Cuando</t>
    </r>
    <r>
      <rPr>
        <sz val="11"/>
        <color rgb="FF000000"/>
        <rFont val="Calibri"/>
      </rPr>
      <t xml:space="preserve"> busca la opción para marcarla como abandono. </t>
    </r>
    <r>
      <rPr>
        <b/>
        <sz val="11"/>
        <color rgb="FF000000"/>
        <rFont val="Calibri"/>
      </rPr>
      <t>Entonces</t>
    </r>
    <r>
      <rPr>
        <sz val="11"/>
        <color rgb="FF000000"/>
        <rFont val="Calibri"/>
      </rPr>
      <t xml:space="preserve"> dicha no le debe permitir marcar la variable como abandono</t>
    </r>
  </si>
  <si>
    <r>
      <t>Dado</t>
    </r>
    <r>
      <rPr>
        <sz val="11"/>
        <color rgb="FF000000"/>
        <rFont val="Calibri"/>
      </rPr>
      <t xml:space="preserve"> que un Administrador del sistema está autenticado. </t>
    </r>
    <r>
      <rPr>
        <b/>
        <sz val="11"/>
        <color rgb="FF000000"/>
        <rFont val="Calibri"/>
      </rPr>
      <t>Cuando</t>
    </r>
    <r>
      <rPr>
        <sz val="11"/>
        <color rgb="FF000000"/>
        <rFont val="Calibri"/>
      </rPr>
      <t xml:space="preserve"> accede a la sección de informes. </t>
    </r>
    <r>
      <rPr>
        <b/>
        <sz val="11"/>
        <color rgb="FF000000"/>
        <rFont val="Calibri"/>
      </rPr>
      <t>Entonces</t>
    </r>
    <r>
      <rPr>
        <sz val="11"/>
        <color rgb="FF000000"/>
        <rFont val="Calibri"/>
      </rPr>
      <t xml:space="preserve"> el sistema debe mostrarle una lista de </t>
    </r>
    <r>
      <rPr>
        <b/>
        <sz val="11"/>
        <color rgb="FF000000"/>
        <rFont val="Calibri"/>
      </rPr>
      <t>todos</t>
    </r>
    <r>
      <rPr>
        <sz val="11"/>
        <color rgb="FF000000"/>
        <rFont val="Calibri"/>
      </rPr>
      <t xml:space="preserve"> los entrenamientos cognitivos existentes.</t>
    </r>
  </si>
  <si>
    <r>
      <t>Dado</t>
    </r>
    <r>
      <rPr>
        <sz val="11"/>
        <color rgb="FF000000"/>
        <rFont val="Calibri"/>
      </rPr>
      <t xml:space="preserve"> que un Administrador ha seleccionado un entrenamiento específico de la lista global. </t>
    </r>
    <r>
      <rPr>
        <b/>
        <sz val="11"/>
        <color rgb="FF000000"/>
        <rFont val="Calibri"/>
      </rPr>
      <t>Cuando</t>
    </r>
    <r>
      <rPr>
        <sz val="11"/>
        <color rgb="FF000000"/>
        <rFont val="Calibri"/>
      </rPr>
      <t xml:space="preserve"> presiona la opción "Generar Informe". </t>
    </r>
    <r>
      <rPr>
        <b/>
        <sz val="11"/>
        <color rgb="FF000000"/>
        <rFont val="Calibri"/>
      </rPr>
      <t>Entonces</t>
    </r>
    <r>
      <rPr>
        <sz val="11"/>
        <color rgb="FF000000"/>
        <rFont val="Calibri"/>
      </rPr>
      <t xml:space="preserve"> el sistema debe generar un informe detallado para ese entrenamiento, sin importar a qué entrenador pertenezca.</t>
    </r>
  </si>
  <si>
    <r>
      <t>Dado</t>
    </r>
    <r>
      <rPr>
        <sz val="11"/>
        <color theme="1"/>
        <rFont val="Calibri"/>
      </rPr>
      <t xml:space="preserve"> que un Administrador genera un informe. </t>
    </r>
    <r>
      <rPr>
        <b/>
        <sz val="11"/>
        <color theme="1"/>
        <rFont val="Calibri"/>
      </rPr>
      <t>Cuando</t>
    </r>
    <r>
      <rPr>
        <sz val="11"/>
        <color theme="1"/>
        <rFont val="Calibri"/>
      </rPr>
      <t xml:space="preserve"> lo visualiza. </t>
    </r>
    <r>
      <rPr>
        <b/>
        <sz val="11"/>
        <color theme="1"/>
        <rFont val="Calibri"/>
      </rPr>
      <t>Entonces</t>
    </r>
    <r>
      <rPr>
        <sz val="11"/>
        <color theme="1"/>
        <rFont val="Calibri"/>
      </rPr>
      <t xml:space="preserve"> el informe debe contener los datos completos del estudiante, los datos del entrenador asignado, el estado de cada variable cognitiva y las métricas de rendimiento.</t>
    </r>
  </si>
  <si>
    <r>
      <t>Dado</t>
    </r>
    <r>
      <rPr>
        <sz val="11"/>
        <color rgb="FF000000"/>
        <rFont val="Calibri"/>
      </rPr>
      <t xml:space="preserve"> que un usuario que no es Administrador (ej. un Entrenador) intenta acceder a la URL del panel de informes global. </t>
    </r>
    <r>
      <rPr>
        <b/>
        <sz val="11"/>
        <color rgb="FF000000"/>
        <rFont val="Calibri"/>
      </rPr>
      <t>Cuando</t>
    </r>
    <r>
      <rPr>
        <sz val="11"/>
        <color rgb="FF000000"/>
        <rFont val="Calibri"/>
      </rPr>
      <t xml:space="preserve"> realiza la solicitud. </t>
    </r>
    <r>
      <rPr>
        <b/>
        <sz val="11"/>
        <color rgb="FF000000"/>
        <rFont val="Calibri"/>
      </rPr>
      <t>Entonces</t>
    </r>
    <r>
      <rPr>
        <sz val="11"/>
        <color rgb="FF000000"/>
        <rFont val="Calibri"/>
      </rPr>
      <t xml:space="preserve"> el sistema debe denegarle el acceso.</t>
    </r>
  </si>
  <si>
    <r>
      <t>Dado</t>
    </r>
    <r>
      <rPr>
        <sz val="11"/>
        <color theme="1"/>
        <rFont val="Aptos Narrow"/>
        <family val="2"/>
        <scheme val="minor"/>
      </rPr>
      <t xml:space="preserve"> que un Entrenador está viendo el detalle de una sesión que se encuentra en estado "Finalizado" o "Abandono". </t>
    </r>
    <r>
      <rPr>
        <b/>
        <sz val="11"/>
        <color theme="1"/>
        <rFont val="Aptos Narrow"/>
        <family val="2"/>
        <scheme val="minor"/>
      </rPr>
      <t>Cuando</t>
    </r>
    <r>
      <rPr>
        <sz val="11"/>
        <color theme="1"/>
        <rFont val="Aptos Narrow"/>
        <family val="2"/>
        <scheme val="minor"/>
      </rPr>
      <t xml:space="preserve"> escribe un comentario en el campo de observaciones y lo guarda. </t>
    </r>
    <r>
      <rPr>
        <b/>
        <sz val="11"/>
        <color theme="1"/>
        <rFont val="Aptos Narrow"/>
        <family val="2"/>
        <scheme val="minor"/>
      </rPr>
      <t>Entonces</t>
    </r>
    <r>
      <rPr>
        <sz val="11"/>
        <color theme="1"/>
        <rFont val="Aptos Narrow"/>
        <family val="2"/>
        <scheme val="minor"/>
      </rPr>
      <t xml:space="preserve"> el sistema debe registrar el comentario en la sesión correspondiente y mostrar un mensaje de confirmación.</t>
    </r>
  </si>
  <si>
    <r>
      <t>Dado</t>
    </r>
    <r>
      <rPr>
        <sz val="11"/>
        <color theme="1"/>
        <rFont val="Aptos Narrow"/>
        <family val="2"/>
        <scheme val="minor"/>
      </rPr>
      <t xml:space="preserve"> que un Entrenador está viendo el detalle de una sesión que ya tiene una observación previa. </t>
    </r>
    <r>
      <rPr>
        <b/>
        <sz val="11"/>
        <color theme="1"/>
        <rFont val="Aptos Narrow"/>
        <family val="2"/>
        <scheme val="minor"/>
      </rPr>
      <t>Cuando</t>
    </r>
    <r>
      <rPr>
        <sz val="11"/>
        <color theme="1"/>
        <rFont val="Aptos Narrow"/>
        <family val="2"/>
        <scheme val="minor"/>
      </rPr>
      <t xml:space="preserve"> modifica el texto de la observación y lo guarda. </t>
    </r>
    <r>
      <rPr>
        <b/>
        <sz val="11"/>
        <color theme="1"/>
        <rFont val="Aptos Narrow"/>
        <family val="2"/>
        <scheme val="minor"/>
      </rPr>
      <t>Entonces</t>
    </r>
    <r>
      <rPr>
        <sz val="11"/>
        <color theme="1"/>
        <rFont val="Aptos Narrow"/>
        <family val="2"/>
        <scheme val="minor"/>
      </rPr>
      <t xml:space="preserve"> el sistema debe actualizar el comentario existente con el nuevo texto.</t>
    </r>
  </si>
  <si>
    <r>
      <t>Dado</t>
    </r>
    <r>
      <rPr>
        <sz val="11"/>
        <color theme="1"/>
        <rFont val="Aptos Narrow"/>
        <family val="2"/>
        <scheme val="minor"/>
      </rPr>
      <t xml:space="preserve"> que un Entrenador está viendo una sesión que está "En Progreso". </t>
    </r>
    <r>
      <rPr>
        <b/>
        <sz val="11"/>
        <color theme="1"/>
        <rFont val="Aptos Narrow"/>
        <family val="2"/>
        <scheme val="minor"/>
      </rPr>
      <t>Cuando</t>
    </r>
    <r>
      <rPr>
        <sz val="11"/>
        <color theme="1"/>
        <rFont val="Aptos Narrow"/>
        <family val="2"/>
        <scheme val="minor"/>
      </rPr>
      <t xml:space="preserve"> intenta añadir o editar una observación. </t>
    </r>
    <r>
      <rPr>
        <b/>
        <sz val="11"/>
        <color theme="1"/>
        <rFont val="Aptos Narrow"/>
        <family val="2"/>
        <scheme val="minor"/>
      </rPr>
      <t>Entonces</t>
    </r>
    <r>
      <rPr>
        <sz val="11"/>
        <color theme="1"/>
        <rFont val="Aptos Narrow"/>
        <family val="2"/>
        <scheme val="minor"/>
      </rPr>
      <t xml:space="preserve"> el sistema no debe permitir la acción y debe mostrar un mensaje indicando que solo se pueden añadir comentarios a sesiones concluidas.</t>
    </r>
  </si>
  <si>
    <r>
      <rPr>
        <b/>
        <sz val="11"/>
        <color rgb="FF000000"/>
        <rFont val="Calibri"/>
      </rPr>
      <t>Dado</t>
    </r>
    <r>
      <rPr>
        <sz val="11"/>
        <color rgb="FF000000"/>
        <rFont val="Aptos Narrow"/>
        <scheme val="minor"/>
      </rPr>
      <t xml:space="preserve"> que un Entrenador intenta guardar una observación. </t>
    </r>
    <r>
      <rPr>
        <b/>
        <sz val="11"/>
        <color rgb="FF000000"/>
        <rFont val="Aptos Narrow"/>
        <scheme val="minor"/>
      </rPr>
      <t>Cuando</t>
    </r>
    <r>
      <rPr>
        <sz val="11"/>
        <color rgb="FF000000"/>
        <rFont val="Aptos Narrow"/>
        <scheme val="minor"/>
      </rPr>
      <t xml:space="preserve"> el texto del comentario excede el límite máximo de caracteres permitido. </t>
    </r>
    <r>
      <rPr>
        <b/>
        <sz val="11"/>
        <color rgb="FF000000"/>
        <rFont val="Aptos Narrow"/>
        <scheme val="minor"/>
      </rPr>
      <t>Entonces</t>
    </r>
    <r>
      <rPr>
        <sz val="11"/>
        <color rgb="FF000000"/>
        <rFont val="Aptos Narrow"/>
        <scheme val="minor"/>
      </rPr>
      <t xml:space="preserve"> el sistema debe impedir que se guarde </t>
    </r>
  </si>
  <si>
    <r>
      <t>Dado</t>
    </r>
    <r>
      <rPr>
        <sz val="11"/>
        <color theme="1"/>
        <rFont val="Aptos Narrow"/>
        <family val="2"/>
        <scheme val="minor"/>
      </rPr>
      <t xml:space="preserve"> que un Entrenador está en la vista del historial de sesiones de una variable. </t>
    </r>
    <r>
      <rPr>
        <b/>
        <sz val="11"/>
        <color theme="1"/>
        <rFont val="Aptos Narrow"/>
        <family val="2"/>
        <scheme val="minor"/>
      </rPr>
      <t>Cuando</t>
    </r>
    <r>
      <rPr>
        <sz val="11"/>
        <color theme="1"/>
        <rFont val="Aptos Narrow"/>
        <family val="2"/>
        <scheme val="minor"/>
      </rPr>
      <t xml:space="preserve"> visualiza la lista. </t>
    </r>
    <r>
      <rPr>
        <b/>
        <sz val="11"/>
        <color theme="1"/>
        <rFont val="Aptos Narrow"/>
        <family val="2"/>
        <scheme val="minor"/>
      </rPr>
      <t>Entonces</t>
    </r>
    <r>
      <rPr>
        <sz val="11"/>
        <color theme="1"/>
        <rFont val="Aptos Narrow"/>
        <family val="2"/>
        <scheme val="minor"/>
      </rPr>
      <t xml:space="preserve"> debe poder ver un indicador o el texto resumido de las observaciones que ha añadido a cada sesión concluida.</t>
    </r>
  </si>
  <si>
    <r>
      <t>Dado</t>
    </r>
    <r>
      <rPr>
        <sz val="11"/>
        <color theme="1"/>
        <rFont val="Aptos Narrow"/>
        <family val="2"/>
        <scheme val="minor"/>
      </rPr>
      <t xml:space="preserve"> que un Administrador del sistema está editando el perfil de un entrenador. </t>
    </r>
    <r>
      <rPr>
        <b/>
        <sz val="11"/>
        <color theme="1"/>
        <rFont val="Aptos Narrow"/>
        <family val="2"/>
        <scheme val="minor"/>
      </rPr>
      <t>Cuando</t>
    </r>
    <r>
      <rPr>
        <sz val="11"/>
        <color theme="1"/>
        <rFont val="Aptos Narrow"/>
        <family val="2"/>
        <scheme val="minor"/>
      </rPr>
      <t xml:space="preserve"> modifica datos personales como nombres, apellidos o correo electrónico con información válida y guarda los cambios. </t>
    </r>
    <r>
      <rPr>
        <b/>
        <sz val="11"/>
        <color theme="1"/>
        <rFont val="Aptos Narrow"/>
        <family val="2"/>
        <scheme val="minor"/>
      </rPr>
      <t>Entonces</t>
    </r>
    <r>
      <rPr>
        <sz val="11"/>
        <color theme="1"/>
        <rFont val="Aptos Narrow"/>
        <family val="2"/>
        <scheme val="minor"/>
      </rPr>
      <t xml:space="preserve"> el sistema debe actualizar el registro del entrenador en la base de datos y mostrar un mensaje de éxito.</t>
    </r>
  </si>
  <si>
    <r>
      <t>Dado</t>
    </r>
    <r>
      <rPr>
        <sz val="11"/>
        <color theme="1"/>
        <rFont val="Aptos Narrow"/>
        <family val="2"/>
        <scheme val="minor"/>
      </rPr>
      <t xml:space="preserve"> que un Administrador está editando el perfil de un entrenador. </t>
    </r>
    <r>
      <rPr>
        <b/>
        <sz val="11"/>
        <color theme="1"/>
        <rFont val="Aptos Narrow"/>
        <family val="2"/>
        <scheme val="minor"/>
      </rPr>
      <t>Cuando</t>
    </r>
    <r>
      <rPr>
        <sz val="11"/>
        <color theme="1"/>
        <rFont val="Aptos Narrow"/>
        <family val="2"/>
        <scheme val="minor"/>
      </rPr>
      <t xml:space="preserve"> modifica la lista de facultades a las que está asignado (añadiendo o quitando facultades válidas) y guarda los cambios. </t>
    </r>
    <r>
      <rPr>
        <b/>
        <sz val="11"/>
        <color theme="1"/>
        <rFont val="Aptos Narrow"/>
        <family val="2"/>
        <scheme val="minor"/>
      </rPr>
      <t>Entonces</t>
    </r>
    <r>
      <rPr>
        <sz val="11"/>
        <color theme="1"/>
        <rFont val="Aptos Narrow"/>
        <family val="2"/>
        <scheme val="minor"/>
      </rPr>
      <t xml:space="preserve"> el sistema debe actualizar las asociaciones del entrenador con las facultades.</t>
    </r>
  </si>
  <si>
    <r>
      <t>Dado</t>
    </r>
    <r>
      <rPr>
        <sz val="11"/>
        <color theme="1"/>
        <rFont val="Aptos Narrow"/>
        <family val="2"/>
        <scheme val="minor"/>
      </rPr>
      <t xml:space="preserve"> que un Administrador está editando a un entrenador. </t>
    </r>
    <r>
      <rPr>
        <b/>
        <sz val="11"/>
        <color theme="1"/>
        <rFont val="Aptos Narrow"/>
        <family val="2"/>
        <scheme val="minor"/>
      </rPr>
      <t>Cuando</t>
    </r>
    <r>
      <rPr>
        <sz val="11"/>
        <color theme="1"/>
        <rFont val="Aptos Narrow"/>
        <family val="2"/>
        <scheme val="minor"/>
      </rPr>
      <t xml:space="preserve"> intenta cambiar el correo electrónico por uno que ya está en uso por otro entrenador en el sistema. </t>
    </r>
    <r>
      <rPr>
        <b/>
        <sz val="11"/>
        <color theme="1"/>
        <rFont val="Aptos Narrow"/>
        <family val="2"/>
        <scheme val="minor"/>
      </rPr>
      <t>Entonces</t>
    </r>
    <r>
      <rPr>
        <sz val="11"/>
        <color theme="1"/>
        <rFont val="Aptos Narrow"/>
        <family val="2"/>
        <scheme val="minor"/>
      </rPr>
      <t xml:space="preserve"> el sistema debe rechazar la modificación y mostrar un error indicando que el correo ya está registrado.</t>
    </r>
  </si>
  <si>
    <r>
      <t>Dado</t>
    </r>
    <r>
      <rPr>
        <sz val="11"/>
        <color theme="1"/>
        <rFont val="Aptos Narrow"/>
        <family val="2"/>
        <scheme val="minor"/>
      </rPr>
      <t xml:space="preserve"> que un Administrador está modificando la información de un entrenador. </t>
    </r>
    <r>
      <rPr>
        <b/>
        <sz val="11"/>
        <color theme="1"/>
        <rFont val="Aptos Narrow"/>
        <family val="2"/>
        <scheme val="minor"/>
      </rPr>
      <t>Cuando</t>
    </r>
    <r>
      <rPr>
        <sz val="11"/>
        <color theme="1"/>
        <rFont val="Aptos Narrow"/>
        <family val="2"/>
        <scheme val="minor"/>
      </rPr>
      <t xml:space="preserve"> intenta guardar los cambios con un formato de correo electrónico no válido. </t>
    </r>
    <r>
      <rPr>
        <b/>
        <sz val="11"/>
        <color theme="1"/>
        <rFont val="Aptos Narrow"/>
        <family val="2"/>
        <scheme val="minor"/>
      </rPr>
      <t>Entonces</t>
    </r>
    <r>
      <rPr>
        <sz val="11"/>
        <color theme="1"/>
        <rFont val="Aptos Narrow"/>
        <family val="2"/>
        <scheme val="minor"/>
      </rPr>
      <t xml:space="preserve"> el sistema debe mostrar un error de validación y no permitir que se guarde el cambio.</t>
    </r>
  </si>
  <si>
    <r>
      <rPr>
        <b/>
        <sz val="11"/>
        <color rgb="FF000000"/>
        <rFont val="Calibri"/>
      </rPr>
      <t>Dado</t>
    </r>
    <r>
      <rPr>
        <sz val="11"/>
        <color rgb="FF000000"/>
        <rFont val="Aptos Narrow"/>
        <scheme val="minor"/>
      </rPr>
      <t xml:space="preserve"> que un Administrador está actualizando las facultades de un entrenador. </t>
    </r>
    <r>
      <rPr>
        <b/>
        <sz val="11"/>
        <color rgb="FF000000"/>
        <rFont val="Aptos Narrow"/>
        <scheme val="minor"/>
      </rPr>
      <t>Cuando</t>
    </r>
    <r>
      <rPr>
        <sz val="11"/>
        <color rgb="FF000000"/>
        <rFont val="Aptos Narrow"/>
        <scheme val="minor"/>
      </rPr>
      <t xml:space="preserve"> intenta asignar una facultad que no existe en el sistema. </t>
    </r>
    <r>
      <rPr>
        <b/>
        <sz val="11"/>
        <color rgb="FF000000"/>
        <rFont val="Aptos Narrow"/>
        <scheme val="minor"/>
      </rPr>
      <t>Entonces</t>
    </r>
    <r>
      <rPr>
        <sz val="11"/>
        <color rgb="FF000000"/>
        <rFont val="Aptos Narrow"/>
        <scheme val="minor"/>
      </rPr>
      <t xml:space="preserve"> el sistema debe rechazar la modificación.</t>
    </r>
  </si>
  <si>
    <r>
      <rPr>
        <b/>
        <sz val="11"/>
        <color rgb="FF000000"/>
        <rFont val="Calibri"/>
      </rPr>
      <t>Dado</t>
    </r>
    <r>
      <rPr>
        <sz val="11"/>
        <color rgb="FF000000"/>
        <rFont val="Aptos Narrow"/>
        <scheme val="minor"/>
      </rPr>
      <t xml:space="preserve"> que un usuario autenticado no tiene el rol de Administrador. </t>
    </r>
    <r>
      <rPr>
        <b/>
        <sz val="11"/>
        <color rgb="FF000000"/>
        <rFont val="Aptos Narrow"/>
        <scheme val="minor"/>
      </rPr>
      <t>Cuando</t>
    </r>
    <r>
      <rPr>
        <sz val="11"/>
        <color rgb="FF000000"/>
        <rFont val="Aptos Narrow"/>
        <scheme val="minor"/>
      </rPr>
      <t xml:space="preserve"> intenta acceder a la funcionalidad para modificar la información de un entrenador. </t>
    </r>
    <r>
      <rPr>
        <b/>
        <sz val="11"/>
        <color rgb="FF000000"/>
        <rFont val="Aptos Narrow"/>
        <scheme val="minor"/>
      </rPr>
      <t>Entonces</t>
    </r>
    <r>
      <rPr>
        <sz val="11"/>
        <color rgb="FF000000"/>
        <rFont val="Aptos Narrow"/>
        <scheme val="minor"/>
      </rPr>
      <t xml:space="preserve"> el sistema debe denegarle el acceso.</t>
    </r>
  </si>
  <si>
    <r>
      <t>Dado</t>
    </r>
    <r>
      <rPr>
        <sz val="11"/>
        <color rgb="FF000000"/>
        <rFont val="Calibri"/>
      </rPr>
      <t xml:space="preserve"> que un Administrador del sistema ha iniciado sesión. </t>
    </r>
    <r>
      <rPr>
        <b/>
        <sz val="11"/>
        <color rgb="FF000000"/>
        <rFont val="Calibri"/>
      </rPr>
      <t>Cuando</t>
    </r>
    <r>
      <rPr>
        <sz val="11"/>
        <color rgb="FF000000"/>
        <rFont val="Calibri"/>
      </rPr>
      <t xml:space="preserve"> accede a la sección de gestión de entrenadores. </t>
    </r>
    <r>
      <rPr>
        <b/>
        <sz val="11"/>
        <color rgb="FF000000"/>
        <rFont val="Calibri"/>
      </rPr>
      <t>Entonces</t>
    </r>
    <r>
      <rPr>
        <sz val="11"/>
        <color rgb="FF000000"/>
        <rFont val="Calibri"/>
      </rPr>
      <t xml:space="preserve"> el sistema debe mostrarle una lista con todos los entrenadores registrados, mostrando su nombre completo, correo y estado del contrato.</t>
    </r>
  </si>
  <si>
    <r>
      <t>Dado</t>
    </r>
    <r>
      <rPr>
        <sz val="11"/>
        <color theme="1"/>
        <rFont val="Calibri"/>
      </rPr>
      <t xml:space="preserve"> que un Administrador está viendo la lista de entrenadores. </t>
    </r>
    <r>
      <rPr>
        <b/>
        <sz val="11"/>
        <color theme="1"/>
        <rFont val="Calibri"/>
      </rPr>
      <t>Cuando</t>
    </r>
    <r>
      <rPr>
        <sz val="11"/>
        <color theme="1"/>
        <rFont val="Calibri"/>
      </rPr>
      <t xml:space="preserve"> utiliza la función de filtro para buscar por una facultad específica. </t>
    </r>
    <r>
      <rPr>
        <b/>
        <sz val="11"/>
        <color theme="1"/>
        <rFont val="Calibri"/>
      </rPr>
      <t>Entonces</t>
    </r>
    <r>
      <rPr>
        <sz val="11"/>
        <color theme="1"/>
        <rFont val="Calibri"/>
      </rPr>
      <t xml:space="preserve"> la lista debe actualizarse para mostrar únicamente a los entrenadores que están asignados a esa facultad.</t>
    </r>
  </si>
  <si>
    <r>
      <t>Dado</t>
    </r>
    <r>
      <rPr>
        <sz val="11"/>
        <color theme="1"/>
        <rFont val="Calibri"/>
      </rPr>
      <t xml:space="preserve"> que un Administrador está viendo la lista de entrenadores. </t>
    </r>
    <r>
      <rPr>
        <b/>
        <sz val="11"/>
        <color theme="1"/>
        <rFont val="Calibri"/>
      </rPr>
      <t>Cuando</t>
    </r>
    <r>
      <rPr>
        <sz val="11"/>
        <color theme="1"/>
        <rFont val="Calibri"/>
      </rPr>
      <t xml:space="preserve"> hace clic en el nombre de un entrenador o en un botón de "ver detalle/editar". </t>
    </r>
    <r>
      <rPr>
        <b/>
        <sz val="11"/>
        <color theme="1"/>
        <rFont val="Calibri"/>
      </rPr>
      <t>Entonces</t>
    </r>
    <r>
      <rPr>
        <sz val="11"/>
        <color theme="1"/>
        <rFont val="Calibri"/>
      </rPr>
      <t xml:space="preserve"> el sistema debe redirigirlo a la pantalla de modificación de información para ese entrenador específico.</t>
    </r>
  </si>
  <si>
    <r>
      <t>Dado</t>
    </r>
    <r>
      <rPr>
        <sz val="11"/>
        <color theme="1"/>
        <rFont val="Calibri"/>
      </rPr>
      <t xml:space="preserve"> que un usuario que no es Administrador intenta acceder a la lista de todos los entrenadores. </t>
    </r>
    <r>
      <rPr>
        <b/>
        <sz val="11"/>
        <color theme="1"/>
        <rFont val="Calibri"/>
      </rPr>
      <t>Cuando</t>
    </r>
    <r>
      <rPr>
        <sz val="11"/>
        <color theme="1"/>
        <rFont val="Calibri"/>
      </rPr>
      <t xml:space="preserve"> realiza la solicitud. </t>
    </r>
    <r>
      <rPr>
        <b/>
        <sz val="11"/>
        <color theme="1"/>
        <rFont val="Calibri"/>
      </rPr>
      <t>Entonces</t>
    </r>
    <r>
      <rPr>
        <sz val="11"/>
        <color theme="1"/>
        <rFont val="Calibri"/>
      </rPr>
      <t xml:space="preserve"> el sistema debe denegar el acceso y mostrar un error de permisos.</t>
    </r>
  </si>
  <si>
    <r>
      <rPr>
        <b/>
        <sz val="11"/>
        <color rgb="FF000000"/>
        <rFont val="Calibri"/>
      </rPr>
      <t>Dado</t>
    </r>
    <r>
      <rPr>
        <sz val="11"/>
        <color rgb="FF000000"/>
        <rFont val="Aptos Narrow"/>
        <scheme val="minor"/>
      </rPr>
      <t xml:space="preserve"> que un Entrenador se ha autenticado en el sistema. </t>
    </r>
    <r>
      <rPr>
        <b/>
        <sz val="11"/>
        <color rgb="FF000000"/>
        <rFont val="Aptos Narrow"/>
        <scheme val="minor"/>
      </rPr>
      <t>Cuando</t>
    </r>
    <r>
      <rPr>
        <sz val="11"/>
        <color rgb="FF000000"/>
        <rFont val="Aptos Narrow"/>
        <scheme val="minor"/>
      </rPr>
      <t xml:space="preserve"> accede a la sección de "Estudiantes Asignados". </t>
    </r>
    <r>
      <rPr>
        <b/>
        <sz val="11"/>
        <color rgb="FF000000"/>
        <rFont val="Aptos Narrow"/>
        <scheme val="minor"/>
      </rPr>
      <t>Entonces</t>
    </r>
    <r>
      <rPr>
        <sz val="11"/>
        <color rgb="FF000000"/>
        <rFont val="Aptos Narrow"/>
        <scheme val="minor"/>
      </rPr>
      <t xml:space="preserve"> el sistema debe mostrarle una lista de todos los estudiantes que pertenecen a las facultades que él tiene asignadas.</t>
    </r>
  </si>
  <si>
    <r>
      <rPr>
        <b/>
        <sz val="11"/>
        <color rgb="FF000000"/>
        <rFont val="Calibri"/>
      </rPr>
      <t>Dado</t>
    </r>
    <r>
      <rPr>
        <sz val="11"/>
        <color rgb="FF000000"/>
        <rFont val="Aptos Narrow"/>
        <scheme val="minor"/>
      </rPr>
      <t xml:space="preserve"> que un Entrenador está viendo su lista de estudiantes. </t>
    </r>
    <r>
      <rPr>
        <b/>
        <sz val="11"/>
        <color rgb="FF000000"/>
        <rFont val="Aptos Narrow"/>
        <scheme val="minor"/>
      </rPr>
      <t>Cuando</t>
    </r>
    <r>
      <rPr>
        <sz val="11"/>
        <color rgb="FF000000"/>
        <rFont val="Aptos Narrow"/>
        <scheme val="minor"/>
      </rPr>
      <t xml:space="preserve"> inspecciona un registro de la lista. </t>
    </r>
    <r>
      <rPr>
        <b/>
        <sz val="11"/>
        <color rgb="FF000000"/>
        <rFont val="Aptos Narrow"/>
        <scheme val="minor"/>
      </rPr>
      <t>Entonces</t>
    </r>
    <r>
      <rPr>
        <sz val="11"/>
        <color rgb="FF000000"/>
        <rFont val="Aptos Narrow"/>
        <scheme val="minor"/>
      </rPr>
      <t xml:space="preserve"> este debe mostrar el nombre completo del estudiante, su programa académico y el estado actual de su entrenamiento cognitivo.</t>
    </r>
  </si>
  <si>
    <r>
      <rPr>
        <b/>
        <sz val="11"/>
        <color rgb="FF000000"/>
        <rFont val="Calibri"/>
      </rPr>
      <t>Dado</t>
    </r>
    <r>
      <rPr>
        <sz val="11"/>
        <color rgb="FF000000"/>
        <rFont val="Aptos Narrow"/>
        <scheme val="minor"/>
      </rPr>
      <t xml:space="preserve"> que un Entrenador está viendo su lista de estudiantes. </t>
    </r>
    <r>
      <rPr>
        <b/>
        <sz val="11"/>
        <color rgb="FF000000"/>
        <rFont val="Aptos Narrow"/>
        <scheme val="minor"/>
      </rPr>
      <t>Cuando</t>
    </r>
    <r>
      <rPr>
        <sz val="11"/>
        <color rgb="FF000000"/>
        <rFont val="Aptos Narrow"/>
        <scheme val="minor"/>
      </rPr>
      <t xml:space="preserve"> hace clic en un boton "Ver detalles". </t>
    </r>
    <r>
      <rPr>
        <b/>
        <sz val="11"/>
        <color rgb="FF000000"/>
        <rFont val="Aptos Narrow"/>
        <scheme val="minor"/>
      </rPr>
      <t>Entonces</t>
    </r>
    <r>
      <rPr>
        <sz val="11"/>
        <color rgb="FF000000"/>
        <rFont val="Aptos Narrow"/>
        <scheme val="minor"/>
      </rPr>
      <t xml:space="preserve"> el sistema debe llevarlo a una vista de perfil detallada de ese estudiante, desde donde podrá gestionar su entrenamiento.</t>
    </r>
  </si>
  <si>
    <r>
      <t>Dado</t>
    </r>
    <r>
      <rPr>
        <sz val="11"/>
        <color theme="1"/>
        <rFont val="Aptos Narrow"/>
        <family val="2"/>
        <scheme val="minor"/>
      </rPr>
      <t xml:space="preserve"> que un Entrenador solo está asignado a la facultad de "Ingenierías". </t>
    </r>
    <r>
      <rPr>
        <b/>
        <sz val="11"/>
        <color theme="1"/>
        <rFont val="Aptos Narrow"/>
        <family val="2"/>
        <scheme val="minor"/>
      </rPr>
      <t>Cuando</t>
    </r>
    <r>
      <rPr>
        <sz val="11"/>
        <color theme="1"/>
        <rFont val="Aptos Narrow"/>
        <family val="2"/>
        <scheme val="minor"/>
      </rPr>
      <t xml:space="preserve"> consulta su lista de estudiantes. </t>
    </r>
    <r>
      <rPr>
        <b/>
        <sz val="11"/>
        <color theme="1"/>
        <rFont val="Aptos Narrow"/>
        <family val="2"/>
        <scheme val="minor"/>
      </rPr>
      <t>Entonces</t>
    </r>
    <r>
      <rPr>
        <sz val="11"/>
        <color theme="1"/>
        <rFont val="Aptos Narrow"/>
        <family val="2"/>
        <scheme val="minor"/>
      </rPr>
      <t xml:space="preserve"> el sistema no debe mostrarle estudiantes que pertenezcan exclusivamente a otras facultades como "Derecho".</t>
    </r>
  </si>
  <si>
    <r>
      <t>Dado</t>
    </r>
    <r>
      <rPr>
        <sz val="11"/>
        <color theme="1"/>
        <rFont val="Calibri"/>
      </rPr>
      <t xml:space="preserve"> que un Estudiante se encuentra en la pantalla de selección de personaje/avatar. </t>
    </r>
    <r>
      <rPr>
        <b/>
        <sz val="11"/>
        <color theme="1"/>
        <rFont val="Calibri"/>
      </rPr>
      <t>Cuando</t>
    </r>
    <r>
      <rPr>
        <sz val="11"/>
        <color theme="1"/>
        <rFont val="Calibri"/>
      </rPr>
      <t xml:space="preserve"> se le presentan las opciones. </t>
    </r>
    <r>
      <rPr>
        <b/>
        <sz val="11"/>
        <color theme="1"/>
        <rFont val="Calibri"/>
      </rPr>
      <t>Entonces</t>
    </r>
    <r>
      <rPr>
        <sz val="11"/>
        <color theme="1"/>
        <rFont val="Calibri"/>
      </rPr>
      <t xml:space="preserve"> el sistema debe mostrarle tres avatares distintos correspondientes a "Masculino", "Femenino" y "No Binario".</t>
    </r>
  </si>
  <si>
    <r>
      <t>Dado</t>
    </r>
    <r>
      <rPr>
        <sz val="11"/>
        <color theme="1"/>
        <rFont val="Calibri"/>
      </rPr>
      <t xml:space="preserve"> que un Estudiante está en la pantalla de selección. </t>
    </r>
    <r>
      <rPr>
        <b/>
        <sz val="11"/>
        <color theme="1"/>
        <rFont val="Calibri"/>
      </rPr>
      <t>Cuando</t>
    </r>
    <r>
      <rPr>
        <sz val="11"/>
        <color theme="1"/>
        <rFont val="Calibri"/>
      </rPr>
      <t xml:space="preserve"> hace clic en uno de los tres avatares. </t>
    </r>
    <r>
      <rPr>
        <b/>
        <sz val="11"/>
        <color theme="1"/>
        <rFont val="Calibri"/>
      </rPr>
      <t>Entonces</t>
    </r>
    <r>
      <rPr>
        <sz val="11"/>
        <color theme="1"/>
        <rFont val="Calibri"/>
      </rPr>
      <t xml:space="preserve"> el sistema debe guardar su selección y el avatar del personaje en la aplicación debe actualizarse para reflejar la opción escogida.</t>
    </r>
  </si>
  <si>
    <r>
      <t>Dado</t>
    </r>
    <r>
      <rPr>
        <sz val="11"/>
        <color rgb="FF000000"/>
        <rFont val="Calibri"/>
      </rPr>
      <t xml:space="preserve"> que un Estudiante ya ha seleccionado un genero previamente. </t>
    </r>
    <r>
      <rPr>
        <b/>
        <sz val="11"/>
        <color rgb="FF000000"/>
        <rFont val="Calibri"/>
      </rPr>
      <t>Cuando</t>
    </r>
    <r>
      <rPr>
        <sz val="11"/>
        <color rgb="FF000000"/>
        <rFont val="Calibri"/>
      </rPr>
      <t xml:space="preserve"> vuelve a la pantalla de selección y elige un avatar diferente. </t>
    </r>
    <r>
      <rPr>
        <b/>
        <sz val="11"/>
        <color rgb="FF000000"/>
        <rFont val="Calibri"/>
      </rPr>
      <t>Entonces</t>
    </r>
    <r>
      <rPr>
        <sz val="11"/>
        <color rgb="FF000000"/>
        <rFont val="Calibri"/>
      </rPr>
      <t xml:space="preserve"> el sistema debe actualizar su preferencia guardada con la nueva selección.</t>
    </r>
  </si>
  <si>
    <r>
      <t>Dado</t>
    </r>
    <r>
      <rPr>
        <sz val="11"/>
        <color rgb="FF000000"/>
        <rFont val="Calibri"/>
      </rPr>
      <t xml:space="preserve"> que un Estudiante está en la pantalla de selección. </t>
    </r>
    <r>
      <rPr>
        <b/>
        <sz val="11"/>
        <color rgb="FF000000"/>
        <rFont val="Calibri"/>
      </rPr>
      <t>Cuando</t>
    </r>
    <r>
      <rPr>
        <sz val="11"/>
        <color rgb="FF000000"/>
        <rFont val="Calibri"/>
      </rPr>
      <t xml:space="preserve"> selecciona un avatar. </t>
    </r>
    <r>
      <rPr>
        <b/>
        <sz val="11"/>
        <color rgb="FF000000"/>
        <rFont val="Calibri"/>
      </rPr>
      <t>Entonces</t>
    </r>
    <r>
      <rPr>
        <sz val="11"/>
        <color rgb="FF000000"/>
        <rFont val="Calibri"/>
      </rPr>
      <t xml:space="preserve"> el sistema debe proporcionar una indicación visual clara (como un borde resaltado o una marca) para mostrar cuál es la opción actualmente seleccionada.</t>
    </r>
  </si>
  <si>
    <r>
      <t>Dado</t>
    </r>
    <r>
      <rPr>
        <sz val="11"/>
        <color theme="1"/>
        <rFont val="Calibri"/>
      </rPr>
      <t xml:space="preserve"> que un Entrenador está supervisando una sesión "En Progreso" de un estudiante. </t>
    </r>
    <r>
      <rPr>
        <b/>
        <sz val="11"/>
        <color theme="1"/>
        <rFont val="Calibri"/>
      </rPr>
      <t>Cuando</t>
    </r>
    <r>
      <rPr>
        <sz val="11"/>
        <color theme="1"/>
        <rFont val="Calibri"/>
      </rPr>
      <t xml:space="preserve"> selecciona la opción "Finalizar y Guardar Progreso". </t>
    </r>
    <r>
      <rPr>
        <b/>
        <sz val="11"/>
        <color theme="1"/>
        <rFont val="Calibri"/>
      </rPr>
      <t>Entonces</t>
    </r>
    <r>
      <rPr>
        <sz val="11"/>
        <color theme="1"/>
        <rFont val="Calibri"/>
      </rPr>
      <t xml:space="preserve"> el sistema debe cambiar el estado de la sesión a "Finalizado" y registrar las nuevas métricas de rendimiento del estudiante.</t>
    </r>
  </si>
  <si>
    <r>
      <t>Dado</t>
    </r>
    <r>
      <rPr>
        <sz val="11"/>
        <color theme="1"/>
        <rFont val="Calibri"/>
      </rPr>
      <t xml:space="preserve"> que un Entrenador ha guardado el progreso de una sesión. </t>
    </r>
    <r>
      <rPr>
        <b/>
        <sz val="11"/>
        <color theme="1"/>
        <rFont val="Calibri"/>
      </rPr>
      <t>Cuando</t>
    </r>
    <r>
      <rPr>
        <sz val="11"/>
        <color theme="1"/>
        <rFont val="Calibri"/>
      </rPr>
      <t xml:space="preserve"> consulta el detalle de la variable cognitiva del estudiante. </t>
    </r>
    <r>
      <rPr>
        <b/>
        <sz val="11"/>
        <color theme="1"/>
        <rFont val="Calibri"/>
      </rPr>
      <t>Entonces</t>
    </r>
    <r>
      <rPr>
        <sz val="11"/>
        <color theme="1"/>
        <rFont val="Calibri"/>
      </rPr>
      <t xml:space="preserve"> las nuevas métricas y el nivel actualizado del estudiante deben verse reflejados correctamente.</t>
    </r>
  </si>
  <si>
    <r>
      <t>Dado</t>
    </r>
    <r>
      <rPr>
        <sz val="11"/>
        <color theme="1"/>
        <rFont val="Calibri"/>
      </rPr>
      <t xml:space="preserve"> que un Entrenador intenta guardar el progreso de una sesión que no está "En Progreso" (ej. está "Por Iniciar" o ya "Finalizado"). </t>
    </r>
    <r>
      <rPr>
        <b/>
        <sz val="11"/>
        <color theme="1"/>
        <rFont val="Calibri"/>
      </rPr>
      <t>Cuando</t>
    </r>
    <r>
      <rPr>
        <sz val="11"/>
        <color theme="1"/>
        <rFont val="Calibri"/>
      </rPr>
      <t xml:space="preserve"> realiza la acción. </t>
    </r>
    <r>
      <rPr>
        <b/>
        <sz val="11"/>
        <color theme="1"/>
        <rFont val="Calibri"/>
      </rPr>
      <t>Entonces</t>
    </r>
    <r>
      <rPr>
        <sz val="11"/>
        <color theme="1"/>
        <rFont val="Calibri"/>
      </rPr>
      <t xml:space="preserve"> el sistema debe impedir la operación y mostrar un error indicando que la sesión no está activa.</t>
    </r>
  </si>
  <si>
    <r>
      <t>Dado</t>
    </r>
    <r>
      <rPr>
        <sz val="11"/>
        <color theme="1"/>
        <rFont val="Calibri"/>
      </rPr>
      <t xml:space="preserve"> que un Administrador del sistema está viendo el perfil de un entrenador cuyo estado es "Inactivo" porque su contrato ya expiró. </t>
    </r>
    <r>
      <rPr>
        <b/>
        <sz val="11"/>
        <color theme="1"/>
        <rFont val="Calibri"/>
      </rPr>
      <t>Cuando</t>
    </r>
    <r>
      <rPr>
        <sz val="11"/>
        <color theme="1"/>
        <rFont val="Calibri"/>
      </rPr>
      <t xml:space="preserve"> modifica la fecha de fin del contrato a una fecha futura y guarda el cambio. </t>
    </r>
    <r>
      <rPr>
        <b/>
        <sz val="11"/>
        <color theme="1"/>
        <rFont val="Calibri"/>
      </rPr>
      <t>Entonces</t>
    </r>
    <r>
      <rPr>
        <sz val="11"/>
        <color theme="1"/>
        <rFont val="Calibri"/>
      </rPr>
      <t xml:space="preserve"> el estado del entrenador debe actualizarse automáticamente a "Activo".</t>
    </r>
  </si>
  <si>
    <r>
      <t>Dado</t>
    </r>
    <r>
      <rPr>
        <sz val="11"/>
        <color theme="1"/>
        <rFont val="Calibri"/>
      </rPr>
      <t xml:space="preserve"> que un Administrador del sistema está viendo el perfil de un entrenador cuyo contrato está a punto de expirar pero sigue "Activo". </t>
    </r>
    <r>
      <rPr>
        <b/>
        <sz val="11"/>
        <color theme="1"/>
        <rFont val="Calibri"/>
      </rPr>
      <t>Cuando</t>
    </r>
    <r>
      <rPr>
        <sz val="11"/>
        <color theme="1"/>
        <rFont val="Calibri"/>
      </rPr>
      <t xml:space="preserve"> extiende la fecha de fin del contrato a una fecha futura más lejana. </t>
    </r>
    <r>
      <rPr>
        <b/>
        <sz val="11"/>
        <color theme="1"/>
        <rFont val="Calibri"/>
      </rPr>
      <t>Entonces</t>
    </r>
    <r>
      <rPr>
        <sz val="11"/>
        <color theme="1"/>
        <rFont val="Calibri"/>
      </rPr>
      <t xml:space="preserve"> el estado del entrenador debe permanecer como "Activo" y su nueva fecha de finalización debe quedar registrada.</t>
    </r>
  </si>
  <si>
    <r>
      <t>Dado</t>
    </r>
    <r>
      <rPr>
        <sz val="11"/>
        <color theme="1"/>
        <rFont val="Calibri"/>
      </rPr>
      <t xml:space="preserve"> que un Administrador acaba de reactivar a un entrenador. </t>
    </r>
    <r>
      <rPr>
        <b/>
        <sz val="11"/>
        <color theme="1"/>
        <rFont val="Calibri"/>
      </rPr>
      <t>Cuando</t>
    </r>
    <r>
      <rPr>
        <sz val="11"/>
        <color theme="1"/>
        <rFont val="Calibri"/>
      </rPr>
      <t xml:space="preserve"> vuelve a la lista general de entrenadores. </t>
    </r>
    <r>
      <rPr>
        <b/>
        <sz val="11"/>
        <color theme="1"/>
        <rFont val="Calibri"/>
      </rPr>
      <t>Entonces</t>
    </r>
    <r>
      <rPr>
        <sz val="11"/>
        <color theme="1"/>
        <rFont val="Calibri"/>
      </rPr>
      <t xml:space="preserve"> el entrenador debe aparecer en la lista con el estado "Activo" actualizado.</t>
    </r>
  </si>
  <si>
    <r>
      <t>Dado</t>
    </r>
    <r>
      <rPr>
        <sz val="11"/>
        <color theme="1"/>
        <rFont val="Calibri"/>
      </rPr>
      <t xml:space="preserve"> que un Administrador está intentando activar a un entrenador. </t>
    </r>
    <r>
      <rPr>
        <b/>
        <sz val="11"/>
        <color theme="1"/>
        <rFont val="Calibri"/>
      </rPr>
      <t>Cuando</t>
    </r>
    <r>
      <rPr>
        <sz val="11"/>
        <color theme="1"/>
        <rFont val="Calibri"/>
      </rPr>
      <t xml:space="preserve"> establece una nueva fecha de fin que es anterior a la fecha de inicio original del contrato del entrenador. </t>
    </r>
    <r>
      <rPr>
        <b/>
        <sz val="11"/>
        <color theme="1"/>
        <rFont val="Calibri"/>
      </rPr>
      <t>Entonces</t>
    </r>
    <r>
      <rPr>
        <sz val="11"/>
        <color theme="1"/>
        <rFont val="Calibri"/>
      </rPr>
      <t xml:space="preserve"> el sistema debe rechazar el cambio y mostrar un error de validación.</t>
    </r>
  </si>
  <si>
    <r>
      <t>Dado</t>
    </r>
    <r>
      <rPr>
        <sz val="11"/>
        <color theme="1"/>
        <rFont val="Calibri"/>
      </rPr>
      <t xml:space="preserve"> que un Administrador del sistema está viendo el perfil de un entrenador "Activo". </t>
    </r>
    <r>
      <rPr>
        <b/>
        <sz val="11"/>
        <color theme="1"/>
        <rFont val="Calibri"/>
      </rPr>
      <t>Cuando</t>
    </r>
    <r>
      <rPr>
        <sz val="11"/>
        <color theme="1"/>
        <rFont val="Calibri"/>
      </rPr>
      <t xml:space="preserve"> presiona el botón "Desactivar" y confirma la acción. </t>
    </r>
    <r>
      <rPr>
        <b/>
        <sz val="11"/>
        <color theme="1"/>
        <rFont val="Calibri"/>
      </rPr>
      <t>Entonces</t>
    </r>
    <r>
      <rPr>
        <sz val="11"/>
        <color theme="1"/>
        <rFont val="Calibri"/>
      </rPr>
      <t xml:space="preserve"> el sistema debe actualizar la fecha de fin de contrato del entrenador a la fecha actual y su estado debe cambiar a "Inactivo".</t>
    </r>
  </si>
  <si>
    <r>
      <t>Dado</t>
    </r>
    <r>
      <rPr>
        <sz val="11"/>
        <color theme="1"/>
        <rFont val="Calibri"/>
      </rPr>
      <t xml:space="preserve"> que un Administrador está a punto de desactivar a un entrenador. </t>
    </r>
    <r>
      <rPr>
        <b/>
        <sz val="11"/>
        <color theme="1"/>
        <rFont val="Calibri"/>
      </rPr>
      <t>Cuando</t>
    </r>
    <r>
      <rPr>
        <sz val="11"/>
        <color theme="1"/>
        <rFont val="Calibri"/>
      </rPr>
      <t xml:space="preserve"> presiona el botón "Desactivar". </t>
    </r>
    <r>
      <rPr>
        <b/>
        <sz val="11"/>
        <color theme="1"/>
        <rFont val="Calibri"/>
      </rPr>
      <t>Entonces</t>
    </r>
    <r>
      <rPr>
        <sz val="11"/>
        <color theme="1"/>
        <rFont val="Calibri"/>
      </rPr>
      <t xml:space="preserve"> el sistema debe mostrar un cuadro de diálogo solicitando confirmación para prevenir una desactivación accidental.</t>
    </r>
  </si>
  <si>
    <r>
      <t>Dado</t>
    </r>
    <r>
      <rPr>
        <sz val="11"/>
        <color theme="1"/>
        <rFont val="Calibri"/>
      </rPr>
      <t xml:space="preserve"> que un Administrador está viendo el perfil de un entrenador que ya está "Inactivo". </t>
    </r>
    <r>
      <rPr>
        <b/>
        <sz val="11"/>
        <color theme="1"/>
        <rFont val="Calibri"/>
      </rPr>
      <t>Cuando</t>
    </r>
    <r>
      <rPr>
        <sz val="11"/>
        <color theme="1"/>
        <rFont val="Calibri"/>
      </rPr>
      <t xml:space="preserve"> busca la opción para desactivarlo. </t>
    </r>
    <r>
      <rPr>
        <b/>
        <sz val="11"/>
        <color theme="1"/>
        <rFont val="Calibri"/>
      </rPr>
      <t>Entonces</t>
    </r>
    <r>
      <rPr>
        <sz val="11"/>
        <color theme="1"/>
        <rFont val="Calibri"/>
      </rPr>
      <t xml:space="preserve"> el botón "Desactivar" no debe estar visible o debe aparecer deshabilitado.</t>
    </r>
  </si>
  <si>
    <r>
      <t>Dado</t>
    </r>
    <r>
      <rPr>
        <sz val="11"/>
        <color theme="1"/>
        <rFont val="Calibri"/>
      </rPr>
      <t xml:space="preserve"> que un Administrador acaba de desactivar un entrenador. </t>
    </r>
    <r>
      <rPr>
        <b/>
        <sz val="11"/>
        <color theme="1"/>
        <rFont val="Calibri"/>
      </rPr>
      <t>Cuando</t>
    </r>
    <r>
      <rPr>
        <sz val="11"/>
        <color theme="1"/>
        <rFont val="Calibri"/>
      </rPr>
      <t xml:space="preserve"> regresa a la lista general de entrenadores. </t>
    </r>
    <r>
      <rPr>
        <b/>
        <sz val="11"/>
        <color theme="1"/>
        <rFont val="Calibri"/>
      </rPr>
      <t>Entonces</t>
    </r>
    <r>
      <rPr>
        <sz val="11"/>
        <color theme="1"/>
        <rFont val="Calibri"/>
      </rPr>
      <t xml:space="preserve"> el estado de ese entrenador en la lista debe mostrarse como "Inactivo".</t>
    </r>
  </si>
  <si>
    <r>
      <t>Dado</t>
    </r>
    <r>
      <rPr>
        <sz val="11"/>
        <color theme="1"/>
        <rFont val="Calibri"/>
      </rPr>
      <t xml:space="preserve"> que un Entrenador está viendo el perfil de un estudiante asignado a él. </t>
    </r>
    <r>
      <rPr>
        <b/>
        <sz val="11"/>
        <color theme="1"/>
        <rFont val="Calibri"/>
      </rPr>
      <t>Cuando</t>
    </r>
    <r>
      <rPr>
        <sz val="11"/>
        <color theme="1"/>
        <rFont val="Calibri"/>
      </rPr>
      <t xml:space="preserve"> modifica datos como sus nombres, apellidos o fecha de nacimiento con información válida y guarda. </t>
    </r>
    <r>
      <rPr>
        <b/>
        <sz val="11"/>
        <color theme="1"/>
        <rFont val="Calibri"/>
      </rPr>
      <t>Entonces</t>
    </r>
    <r>
      <rPr>
        <sz val="11"/>
        <color theme="1"/>
        <rFont val="Calibri"/>
      </rPr>
      <t xml:space="preserve"> el sistema debe actualizar el registro del estudiante y mostrar un mensaje de éxito.</t>
    </r>
  </si>
  <si>
    <r>
      <t>Dado</t>
    </r>
    <r>
      <rPr>
        <sz val="11"/>
        <color theme="1"/>
        <rFont val="Calibri"/>
      </rPr>
      <t xml:space="preserve"> que un Entrenador está editando el perfil de un estudiante. </t>
    </r>
    <r>
      <rPr>
        <b/>
        <sz val="11"/>
        <color theme="1"/>
        <rFont val="Calibri"/>
      </rPr>
      <t>Cuando</t>
    </r>
    <r>
      <rPr>
        <sz val="11"/>
        <color theme="1"/>
        <rFont val="Calibri"/>
      </rPr>
      <t xml:space="preserve"> modifica los programas académicos en los que está inscrito el estudiante (respetando el límite de 1-2 programas). </t>
    </r>
    <r>
      <rPr>
        <b/>
        <sz val="11"/>
        <color theme="1"/>
        <rFont val="Calibri"/>
      </rPr>
      <t>Entonces</t>
    </r>
    <r>
      <rPr>
        <sz val="11"/>
        <color theme="1"/>
        <rFont val="Calibri"/>
      </rPr>
      <t xml:space="preserve"> el sistema debe actualizar las asociaciones de programas del estudiante.</t>
    </r>
  </si>
  <si>
    <r>
      <t>Dado</t>
    </r>
    <r>
      <rPr>
        <sz val="11"/>
        <color theme="1"/>
        <rFont val="Calibri"/>
      </rPr>
      <t xml:space="preserve"> que un Entrenador está modificando el perfil de un estudiante. </t>
    </r>
    <r>
      <rPr>
        <b/>
        <sz val="11"/>
        <color theme="1"/>
        <rFont val="Calibri"/>
      </rPr>
      <t>Cuando</t>
    </r>
    <r>
      <rPr>
        <sz val="11"/>
        <color theme="1"/>
        <rFont val="Calibri"/>
      </rPr>
      <t xml:space="preserve"> intenta cambiar el correo electrónico del estudiante por uno que ya existe en el sistema. </t>
    </r>
    <r>
      <rPr>
        <b/>
        <sz val="11"/>
        <color theme="1"/>
        <rFont val="Calibri"/>
      </rPr>
      <t>Entonces</t>
    </r>
    <r>
      <rPr>
        <sz val="11"/>
        <color theme="1"/>
        <rFont val="Calibri"/>
      </rPr>
      <t xml:space="preserve"> el sistema debe rechazar la acción y mostrar un error indicando que el correo ya está en uso.</t>
    </r>
  </si>
  <si>
    <r>
      <t>Dado</t>
    </r>
    <r>
      <rPr>
        <sz val="11"/>
        <color theme="1"/>
        <rFont val="Calibri"/>
      </rPr>
      <t xml:space="preserve"> que un Entrenador está editando un estudiante. </t>
    </r>
    <r>
      <rPr>
        <b/>
        <sz val="11"/>
        <color theme="1"/>
        <rFont val="Calibri"/>
      </rPr>
      <t>Cuando</t>
    </r>
    <r>
      <rPr>
        <sz val="11"/>
        <color theme="1"/>
        <rFont val="Calibri"/>
      </rPr>
      <t xml:space="preserve"> intenta asignarle un programa académico que no existe. </t>
    </r>
    <r>
      <rPr>
        <b/>
        <sz val="11"/>
        <color theme="1"/>
        <rFont val="Calibri"/>
      </rPr>
      <t>Entonces</t>
    </r>
    <r>
      <rPr>
        <sz val="11"/>
        <color theme="1"/>
        <rFont val="Calibri"/>
      </rPr>
      <t xml:space="preserve"> el sistema debe rechazar el cambio y mostrar un error de que el programa no es válido.</t>
    </r>
  </si>
  <si>
    <r>
      <t>Dado</t>
    </r>
    <r>
      <rPr>
        <sz val="11"/>
        <color rgb="FF000000"/>
        <rFont val="Calibri"/>
      </rPr>
      <t xml:space="preserve"> que un Entrenador está viendo el informe de un entrenamiento cognitivo. </t>
    </r>
    <r>
      <rPr>
        <b/>
        <sz val="11"/>
        <color rgb="FF000000"/>
        <rFont val="Calibri"/>
      </rPr>
      <t>Cuando</t>
    </r>
    <r>
      <rPr>
        <sz val="11"/>
        <color rgb="FF000000"/>
        <rFont val="Calibri"/>
      </rPr>
      <t xml:space="preserve"> presiona el botón "Descargar Informel". </t>
    </r>
    <r>
      <rPr>
        <b/>
        <sz val="11"/>
        <color rgb="FF000000"/>
        <rFont val="Calibri"/>
      </rPr>
      <t>Entonces</t>
    </r>
    <r>
      <rPr>
        <sz val="11"/>
        <color rgb="FF000000"/>
        <rFont val="Calibri"/>
      </rPr>
      <t xml:space="preserve"> el navegador debe iniciar la descarga de un archivo con formato de Excel</t>
    </r>
  </si>
  <si>
    <r>
      <t>Dado</t>
    </r>
    <r>
      <rPr>
        <sz val="11"/>
        <color theme="1"/>
        <rFont val="Calibri"/>
      </rPr>
      <t xml:space="preserve"> que un Entrenador ha descargado y abierto el informe en Excel. </t>
    </r>
    <r>
      <rPr>
        <b/>
        <sz val="11"/>
        <color theme="1"/>
        <rFont val="Calibri"/>
      </rPr>
      <t>Cuando</t>
    </r>
    <r>
      <rPr>
        <sz val="11"/>
        <color theme="1"/>
        <rFont val="Calibri"/>
      </rPr>
      <t xml:space="preserve"> lo revisa. </t>
    </r>
    <r>
      <rPr>
        <b/>
        <sz val="11"/>
        <color theme="1"/>
        <rFont val="Calibri"/>
      </rPr>
      <t>Entonces</t>
    </r>
    <r>
      <rPr>
        <sz val="11"/>
        <color theme="1"/>
        <rFont val="Calibri"/>
      </rPr>
      <t xml:space="preserve"> el archivo debe contener al menos dos hojas de cálculo: una con el resumen del progreso del estudiante y otra con el historial detallado de todas las sesiones.</t>
    </r>
  </si>
  <si>
    <r>
      <t>Dado</t>
    </r>
    <r>
      <rPr>
        <sz val="11"/>
        <color rgb="FF000000"/>
        <rFont val="Calibri"/>
      </rPr>
      <t xml:space="preserve"> que un Entrenador compara el informe descargado con la vista en la aplicación. </t>
    </r>
    <r>
      <rPr>
        <b/>
        <sz val="11"/>
        <color rgb="FF000000"/>
        <rFont val="Calibri"/>
      </rPr>
      <t>Cuando</t>
    </r>
    <r>
      <rPr>
        <sz val="11"/>
        <color rgb="FF000000"/>
        <rFont val="Calibri"/>
      </rPr>
      <t xml:space="preserve"> revisa los datos de una sesión específica. </t>
    </r>
    <r>
      <rPr>
        <b/>
        <sz val="11"/>
        <color rgb="FF000000"/>
        <rFont val="Calibri"/>
      </rPr>
      <t>Entonces</t>
    </r>
    <r>
      <rPr>
        <sz val="11"/>
        <color rgb="FF000000"/>
        <rFont val="Calibri"/>
      </rPr>
      <t xml:space="preserve"> la información en las celdas de Excel debe ser consistente con la de la web.</t>
    </r>
  </si>
  <si>
    <t>Sprint -1</t>
  </si>
  <si>
    <t>Sprint 0</t>
  </si>
  <si>
    <t>Sprint  1</t>
  </si>
  <si>
    <t>Sprint  2</t>
  </si>
  <si>
    <t>Sprint  3</t>
  </si>
  <si>
    <t>Sprint  4</t>
  </si>
  <si>
    <t>Sprint 1</t>
  </si>
  <si>
    <t>Escritura historia de usuario</t>
  </si>
  <si>
    <t>Refinamiento historia de usuario</t>
  </si>
  <si>
    <t>Implementación y validación</t>
  </si>
  <si>
    <t>Sprint 2</t>
  </si>
  <si>
    <t>Sprint 3</t>
  </si>
  <si>
    <t>Sprint 4</t>
  </si>
  <si>
    <t>Nombre Historia de Usuario</t>
  </si>
  <si>
    <t>Respuesta</t>
  </si>
  <si>
    <t>Tallas</t>
  </si>
  <si>
    <t>NO</t>
  </si>
  <si>
    <t>L</t>
  </si>
  <si>
    <t>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</si>
</sst>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sz val="11"/>
      <color theme="1"/>
      <name val="Calibri"/>
    </font>
    <font>
      <sz val="11"/>
      <color rgb="FF242424"/>
      <name val="Aptos Narrow"/>
      <charset val="1"/>
    </font>
    <font>
      <sz val="12"/>
      <color theme="1"/>
      <name val="Aptos Narrow"/>
      <family val="2"/>
      <scheme val="minor"/>
    </font>
    <font>
      <u/>
      <sz val="11"/>
      <color theme="10"/>
      <name val="Aptos Narrow"/>
      <family val="2"/>
      <scheme val="minor"/>
    </font>
    <font>
      <u/>
      <sz val="11"/>
      <color theme="10"/>
      <name val="Calibri"/>
      <family val="2"/>
      <scheme val="minor"/>
    </font>
    <font>
      <b/>
      <sz val="16"/>
      <color rgb="FFFFFFFF"/>
      <name val="Calibri"/>
      <family val="2"/>
    </font>
    <font>
      <b/>
      <i/>
      <sz val="11"/>
      <color rgb="FF000000"/>
      <name val="Calibri"/>
      <family val="2"/>
    </font>
    <font>
      <sz val="11"/>
      <color rgb="FF000000"/>
      <name val="Calibri"/>
      <family val="2"/>
    </font>
    <font>
      <b/>
      <sz val="10"/>
      <color rgb="FFFFFFFF"/>
      <name val="Calibri"/>
      <family val="2"/>
    </font>
    <font>
      <b/>
      <sz val="10"/>
      <name val="Calibri"/>
      <family val="2"/>
    </font>
    <font>
      <b/>
      <sz val="11"/>
      <color rgb="FF000000"/>
      <name val="Calibri"/>
    </font>
    <font>
      <sz val="11"/>
      <color rgb="FF000000"/>
      <name val="Calibri"/>
    </font>
    <font>
      <sz val="11"/>
      <color rgb="FF000000"/>
      <name val="Aptos Narrow"/>
      <scheme val="minor"/>
    </font>
    <font>
      <b/>
      <sz val="11"/>
      <color rgb="FF000000"/>
      <name val="Aptos Narrow"/>
      <scheme val="minor"/>
    </font>
    <font>
      <b/>
      <sz val="11"/>
      <color theme="1"/>
      <name val="Calibri"/>
    </font>
    <font>
      <b/>
      <sz val="11"/>
      <color rgb="FF000000"/>
      <name val="Cali"/>
    </font>
    <font>
      <sz val="11"/>
      <color theme="1"/>
      <name val="Cali"/>
    </font>
    <font>
      <b/>
      <sz val="11"/>
      <color theme="1"/>
      <name val="Cali"/>
    </font>
    <font>
      <sz val="11"/>
      <color rgb="FF000000"/>
      <name val="Cali"/>
    </font>
  </fonts>
  <fills count="13">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CAEDFB"/>
        <bgColor indexed="64"/>
      </patternFill>
    </fill>
    <fill>
      <patternFill patternType="solid">
        <fgColor rgb="FF000000"/>
        <bgColor indexed="64"/>
      </patternFill>
    </fill>
    <fill>
      <patternFill patternType="solid">
        <fgColor rgb="FF757171"/>
        <bgColor indexed="64"/>
      </patternFill>
    </fill>
    <fill>
      <patternFill patternType="solid">
        <fgColor rgb="FFE2EFDA"/>
        <bgColor indexed="64"/>
      </patternFill>
    </fill>
    <fill>
      <patternFill patternType="solid">
        <fgColor rgb="FFFCE4D6"/>
        <bgColor indexed="64"/>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medium">
        <color indexed="64"/>
      </right>
      <top style="thin">
        <color rgb="FF000000"/>
      </top>
      <bottom style="thin">
        <color indexed="64"/>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rgb="FF000000"/>
      </top>
      <bottom style="medium">
        <color rgb="FF000000"/>
      </bottom>
      <diagonal/>
    </border>
    <border>
      <left style="medium">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139">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6" borderId="1"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1" fillId="6" borderId="1"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3" fillId="0" borderId="1"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5" borderId="8" xfId="0" applyFill="1" applyBorder="1" applyAlignment="1">
      <alignment horizontal="center" vertical="center" wrapText="1"/>
    </xf>
    <xf numFmtId="0" fontId="1" fillId="2" borderId="10" xfId="0" applyFont="1" applyFill="1" applyBorder="1" applyAlignment="1">
      <alignment horizontal="center"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0" fillId="0" borderId="14" xfId="0" applyBorder="1"/>
    <xf numFmtId="0" fontId="0" fillId="0" borderId="15" xfId="0" applyBorder="1"/>
    <xf numFmtId="0" fontId="0" fillId="8" borderId="13" xfId="0" applyFill="1" applyBorder="1"/>
    <xf numFmtId="0" fontId="0" fillId="8" borderId="1" xfId="0" applyFill="1" applyBorder="1"/>
    <xf numFmtId="0" fontId="0" fillId="4" borderId="2" xfId="0" applyFill="1" applyBorder="1"/>
    <xf numFmtId="0" fontId="0" fillId="4" borderId="1" xfId="0" applyFill="1" applyBorder="1"/>
    <xf numFmtId="0" fontId="6" fillId="0" borderId="0" xfId="2" applyBorder="1" applyAlignment="1">
      <alignment vertical="center"/>
    </xf>
    <xf numFmtId="0" fontId="8" fillId="0" borderId="20" xfId="0" applyFont="1" applyBorder="1" applyAlignment="1">
      <alignment horizontal="left" vertical="center" wrapText="1"/>
    </xf>
    <xf numFmtId="0" fontId="9" fillId="0" borderId="20" xfId="0" applyFont="1" applyBorder="1" applyAlignment="1">
      <alignment horizontal="left" vertical="center" wrapText="1"/>
    </xf>
    <xf numFmtId="0" fontId="11" fillId="11" borderId="21" xfId="0" applyFont="1" applyFill="1" applyBorder="1" applyAlignment="1">
      <alignment horizontal="center" vertical="center" wrapText="1"/>
    </xf>
    <xf numFmtId="0" fontId="11" fillId="12" borderId="21" xfId="0" applyFont="1" applyFill="1" applyBorder="1" applyAlignment="1">
      <alignment horizontal="center" vertical="center" wrapText="1"/>
    </xf>
    <xf numFmtId="0" fontId="9" fillId="11" borderId="21" xfId="0" applyFont="1" applyFill="1" applyBorder="1" applyAlignment="1">
      <alignment horizontal="center" vertical="center" wrapText="1"/>
    </xf>
    <xf numFmtId="0" fontId="9" fillId="12" borderId="21" xfId="0" applyFont="1" applyFill="1" applyBorder="1" applyAlignment="1">
      <alignment horizontal="center" vertical="center" wrapText="1"/>
    </xf>
    <xf numFmtId="0" fontId="5" fillId="6" borderId="1" xfId="1" applyFill="1" applyBorder="1" applyAlignment="1">
      <alignment horizontal="center" vertical="center" wrapText="1"/>
    </xf>
    <xf numFmtId="0" fontId="9" fillId="0" borderId="31" xfId="0" applyFont="1" applyBorder="1" applyAlignment="1">
      <alignment horizontal="left" vertical="center" wrapText="1"/>
    </xf>
    <xf numFmtId="0" fontId="9" fillId="11" borderId="37" xfId="0" applyFont="1" applyFill="1" applyBorder="1" applyAlignment="1">
      <alignment horizontal="center" vertical="center" wrapText="1"/>
    </xf>
    <xf numFmtId="0" fontId="9" fillId="12" borderId="37" xfId="0" applyFont="1" applyFill="1" applyBorder="1" applyAlignment="1">
      <alignment horizontal="center" vertical="center" wrapText="1"/>
    </xf>
    <xf numFmtId="0" fontId="9" fillId="11" borderId="35"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9" fillId="0" borderId="38" xfId="0" applyFont="1" applyBorder="1" applyAlignment="1">
      <alignment horizontal="left" vertical="center" wrapText="1"/>
    </xf>
    <xf numFmtId="0" fontId="9" fillId="0" borderId="34" xfId="0" applyFont="1" applyBorder="1" applyAlignment="1">
      <alignment horizontal="left" vertical="center" wrapText="1"/>
    </xf>
    <xf numFmtId="0" fontId="0" fillId="6" borderId="44" xfId="0" applyFill="1" applyBorder="1" applyAlignment="1">
      <alignment horizontal="center" vertical="center" wrapText="1"/>
    </xf>
    <xf numFmtId="0" fontId="11"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11"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0" borderId="8" xfId="0" applyFont="1" applyBorder="1" applyAlignment="1">
      <alignment horizontal="left" vertical="center" wrapText="1"/>
    </xf>
    <xf numFmtId="0" fontId="9" fillId="11" borderId="8"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11" fillId="11" borderId="44" xfId="0" applyFont="1" applyFill="1" applyBorder="1" applyAlignment="1">
      <alignment horizontal="center" vertical="center" wrapText="1"/>
    </xf>
    <xf numFmtId="0" fontId="11" fillId="12" borderId="44" xfId="0" applyFont="1" applyFill="1" applyBorder="1" applyAlignment="1">
      <alignment horizontal="center" vertical="center" wrapText="1"/>
    </xf>
    <xf numFmtId="0" fontId="5" fillId="6" borderId="8" xfId="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3" fillId="0" borderId="21" xfId="0" applyFont="1" applyBorder="1" applyAlignment="1">
      <alignment horizontal="left" vertical="center" wrapText="1"/>
    </xf>
    <xf numFmtId="0" fontId="9" fillId="0" borderId="21" xfId="0" applyFont="1" applyBorder="1" applyAlignment="1">
      <alignment horizontal="left" vertical="center" wrapText="1"/>
    </xf>
    <xf numFmtId="0" fontId="9" fillId="12" borderId="21" xfId="0" applyFont="1" applyFill="1" applyBorder="1" applyAlignment="1">
      <alignment horizontal="center" vertical="center" wrapText="1"/>
    </xf>
    <xf numFmtId="0" fontId="9" fillId="12" borderId="22" xfId="0" applyFont="1" applyFill="1" applyBorder="1" applyAlignment="1">
      <alignment horizontal="center" vertical="center" wrapText="1"/>
    </xf>
    <xf numFmtId="0" fontId="13" fillId="0" borderId="32" xfId="0" applyFont="1" applyBorder="1" applyAlignment="1">
      <alignment horizontal="left" vertical="center" wrapText="1"/>
    </xf>
    <xf numFmtId="0" fontId="9" fillId="0" borderId="32" xfId="0" applyFont="1" applyBorder="1" applyAlignment="1">
      <alignment horizontal="left" vertical="center" wrapText="1"/>
    </xf>
    <xf numFmtId="0" fontId="9" fillId="12" borderId="32" xfId="0" applyFont="1" applyFill="1" applyBorder="1" applyAlignment="1">
      <alignment horizontal="center" vertical="center" wrapText="1"/>
    </xf>
    <xf numFmtId="0" fontId="9" fillId="12" borderId="33" xfId="0" applyFont="1" applyFill="1" applyBorder="1" applyAlignment="1">
      <alignment horizontal="center" vertical="center" wrapText="1"/>
    </xf>
    <xf numFmtId="0" fontId="7" fillId="9" borderId="34" xfId="0" applyFont="1" applyFill="1" applyBorder="1" applyAlignment="1">
      <alignment horizontal="center" vertical="center" wrapText="1"/>
    </xf>
    <xf numFmtId="0" fontId="7" fillId="9" borderId="35" xfId="0" applyFont="1" applyFill="1" applyBorder="1" applyAlignment="1">
      <alignment horizontal="center" vertical="center" wrapText="1"/>
    </xf>
    <xf numFmtId="0" fontId="7" fillId="9" borderId="36" xfId="0" applyFont="1" applyFill="1" applyBorder="1" applyAlignment="1">
      <alignment horizontal="center" vertical="center" wrapText="1"/>
    </xf>
    <xf numFmtId="0" fontId="10" fillId="10" borderId="28"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30" xfId="0" applyFont="1" applyFill="1" applyBorder="1" applyAlignment="1">
      <alignment horizontal="center" vertical="center" wrapText="1"/>
    </xf>
    <xf numFmtId="0" fontId="10" fillId="10" borderId="22"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4" xfId="0" applyFont="1" applyBorder="1" applyAlignment="1">
      <alignment horizontal="left" vertical="center" wrapText="1"/>
    </xf>
    <xf numFmtId="0" fontId="9" fillId="0" borderId="27" xfId="0" applyFont="1" applyBorder="1" applyAlignment="1">
      <alignment horizontal="left" vertical="center" wrapText="1"/>
    </xf>
    <xf numFmtId="0" fontId="9" fillId="0" borderId="23" xfId="0" applyFont="1" applyBorder="1" applyAlignment="1">
      <alignment horizontal="left" vertical="center" wrapText="1"/>
    </xf>
    <xf numFmtId="0" fontId="9" fillId="0" borderId="25" xfId="0" applyFont="1" applyBorder="1" applyAlignment="1">
      <alignment horizontal="left" vertical="center" wrapText="1"/>
    </xf>
    <xf numFmtId="0" fontId="9" fillId="0" borderId="22" xfId="0" applyFont="1" applyBorder="1" applyAlignment="1">
      <alignment horizontal="left" vertical="center" wrapText="1"/>
    </xf>
    <xf numFmtId="0" fontId="9" fillId="0" borderId="20" xfId="0" applyFont="1" applyBorder="1" applyAlignment="1">
      <alignment horizontal="left" vertical="center" wrapText="1"/>
    </xf>
    <xf numFmtId="0" fontId="7" fillId="9" borderId="20" xfId="0" applyFont="1" applyFill="1" applyBorder="1" applyAlignment="1">
      <alignment horizontal="center" vertical="center" wrapText="1"/>
    </xf>
    <xf numFmtId="0" fontId="7" fillId="9" borderId="21" xfId="0" applyFont="1" applyFill="1" applyBorder="1" applyAlignment="1">
      <alignment horizontal="center" vertical="center" wrapText="1"/>
    </xf>
    <xf numFmtId="0" fontId="7" fillId="9" borderId="22" xfId="0" applyFont="1" applyFill="1" applyBorder="1" applyAlignment="1">
      <alignment horizontal="center" vertical="center" wrapText="1"/>
    </xf>
    <xf numFmtId="0" fontId="5" fillId="0" borderId="16" xfId="1" applyBorder="1" applyAlignment="1">
      <alignment horizontal="left" vertical="center"/>
    </xf>
    <xf numFmtId="0" fontId="7" fillId="9" borderId="17" xfId="0" applyFont="1" applyFill="1" applyBorder="1" applyAlignment="1">
      <alignment horizontal="center" vertical="center" wrapText="1"/>
    </xf>
    <xf numFmtId="0" fontId="7" fillId="9" borderId="18"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5" fillId="0" borderId="20" xfId="1" applyBorder="1" applyAlignment="1">
      <alignment horizontal="left" vertical="center" wrapText="1"/>
    </xf>
    <xf numFmtId="0" fontId="5" fillId="0" borderId="21" xfId="1" applyBorder="1" applyAlignment="1">
      <alignment horizontal="left" vertical="center" wrapText="1"/>
    </xf>
    <xf numFmtId="0" fontId="5" fillId="0" borderId="22" xfId="1" applyBorder="1" applyAlignment="1">
      <alignment horizontal="left" vertical="center" wrapText="1"/>
    </xf>
    <xf numFmtId="0" fontId="12" fillId="0" borderId="35" xfId="0" applyFont="1" applyBorder="1" applyAlignment="1">
      <alignment horizontal="left" vertical="center" wrapText="1"/>
    </xf>
    <xf numFmtId="0" fontId="13" fillId="0" borderId="35" xfId="0" applyFont="1" applyBorder="1" applyAlignment="1">
      <alignment horizontal="left" vertical="center" wrapText="1"/>
    </xf>
    <xf numFmtId="0" fontId="9"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12" fillId="0" borderId="37" xfId="0" applyFont="1" applyBorder="1" applyAlignment="1">
      <alignment horizontal="left" vertical="center" wrapText="1"/>
    </xf>
    <xf numFmtId="0" fontId="13" fillId="0" borderId="37" xfId="0" applyFont="1" applyBorder="1" applyAlignment="1">
      <alignment horizontal="left" vertical="center" wrapText="1"/>
    </xf>
    <xf numFmtId="0" fontId="9" fillId="12" borderId="37" xfId="0" applyFont="1" applyFill="1" applyBorder="1" applyAlignment="1">
      <alignment horizontal="center" vertical="center" wrapText="1"/>
    </xf>
    <xf numFmtId="0" fontId="9" fillId="12" borderId="39" xfId="0" applyFont="1" applyFill="1" applyBorder="1" applyAlignment="1">
      <alignment horizontal="center" vertical="center" wrapText="1"/>
    </xf>
    <xf numFmtId="0" fontId="12" fillId="0" borderId="21" xfId="0" applyFont="1" applyBorder="1" applyAlignment="1">
      <alignment horizontal="left" vertical="center" wrapText="1"/>
    </xf>
    <xf numFmtId="0" fontId="9" fillId="0" borderId="35" xfId="0" applyFont="1" applyBorder="1" applyAlignment="1">
      <alignment horizontal="left" vertical="center" wrapText="1"/>
    </xf>
    <xf numFmtId="0" fontId="9" fillId="0" borderId="37" xfId="0" applyFont="1" applyBorder="1" applyAlignment="1">
      <alignment horizontal="left" vertical="center" wrapText="1"/>
    </xf>
    <xf numFmtId="0" fontId="12" fillId="0" borderId="40" xfId="0" applyFont="1" applyBorder="1" applyAlignment="1">
      <alignment horizontal="left" vertical="center" wrapText="1"/>
    </xf>
    <xf numFmtId="0" fontId="12" fillId="0" borderId="41" xfId="0" applyFont="1" applyBorder="1" applyAlignment="1">
      <alignment horizontal="left" vertical="center" wrapText="1"/>
    </xf>
    <xf numFmtId="0" fontId="12" fillId="0" borderId="42" xfId="0" applyFont="1" applyBorder="1" applyAlignment="1">
      <alignment horizontal="left" vertical="center" wrapText="1"/>
    </xf>
    <xf numFmtId="0" fontId="9" fillId="12" borderId="40" xfId="0" applyFont="1" applyFill="1" applyBorder="1" applyAlignment="1">
      <alignment horizontal="center" vertical="center" wrapText="1"/>
    </xf>
    <xf numFmtId="0" fontId="9" fillId="12" borderId="41" xfId="0" applyFont="1" applyFill="1" applyBorder="1" applyAlignment="1">
      <alignment horizontal="center" vertical="center" wrapText="1"/>
    </xf>
    <xf numFmtId="0" fontId="9" fillId="12" borderId="43" xfId="0" applyFont="1" applyFill="1" applyBorder="1" applyAlignment="1">
      <alignment horizontal="center" vertical="center" wrapText="1"/>
    </xf>
    <xf numFmtId="0" fontId="13" fillId="0" borderId="26" xfId="0" applyFont="1" applyBorder="1" applyAlignment="1">
      <alignment horizontal="left" vertical="center" wrapText="1"/>
    </xf>
    <xf numFmtId="0" fontId="17" fillId="0" borderId="35" xfId="0" applyFont="1" applyBorder="1" applyAlignment="1">
      <alignment horizontal="left" vertical="center" wrapText="1"/>
    </xf>
    <xf numFmtId="0" fontId="20" fillId="0" borderId="35" xfId="0" applyFont="1" applyBorder="1" applyAlignment="1">
      <alignment horizontal="left" vertical="center" wrapText="1"/>
    </xf>
    <xf numFmtId="0" fontId="17" fillId="0" borderId="37" xfId="0" applyFont="1" applyBorder="1" applyAlignment="1">
      <alignment horizontal="left" vertical="center" wrapText="1"/>
    </xf>
    <xf numFmtId="0" fontId="20" fillId="0" borderId="37" xfId="0" applyFont="1" applyBorder="1" applyAlignment="1">
      <alignment horizontal="left" vertical="center" wrapText="1"/>
    </xf>
    <xf numFmtId="0" fontId="17" fillId="0" borderId="21" xfId="0" applyFont="1" applyBorder="1" applyAlignment="1">
      <alignment horizontal="left" vertical="center" wrapText="1"/>
    </xf>
    <xf numFmtId="0" fontId="20" fillId="0" borderId="2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9" fillId="12" borderId="1" xfId="0" applyFont="1" applyFill="1" applyBorder="1" applyAlignment="1">
      <alignment horizontal="center" vertical="center" wrapText="1"/>
    </xf>
    <xf numFmtId="0" fontId="12" fillId="0" borderId="8" xfId="0" applyFont="1" applyBorder="1" applyAlignment="1">
      <alignment horizontal="left" vertical="center" wrapText="1"/>
    </xf>
    <xf numFmtId="0" fontId="13" fillId="0" borderId="8" xfId="0" applyFont="1" applyBorder="1" applyAlignment="1">
      <alignment horizontal="left" vertical="center" wrapText="1"/>
    </xf>
    <xf numFmtId="0" fontId="9" fillId="12" borderId="8"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0" borderId="44" xfId="0" applyFont="1" applyFill="1" applyBorder="1" applyAlignment="1">
      <alignment horizontal="center" vertical="center" wrapText="1"/>
    </xf>
    <xf numFmtId="0" fontId="12" fillId="0" borderId="45" xfId="0" applyFont="1" applyBorder="1" applyAlignment="1">
      <alignment horizontal="left" vertical="center" wrapText="1"/>
    </xf>
    <xf numFmtId="0" fontId="13" fillId="0" borderId="46" xfId="0" applyFont="1" applyBorder="1" applyAlignment="1">
      <alignment horizontal="left" vertical="center" wrapText="1"/>
    </xf>
    <xf numFmtId="0" fontId="13" fillId="0" borderId="13" xfId="0" applyFont="1" applyBorder="1" applyAlignment="1">
      <alignment horizontal="left" vertical="center" wrapText="1"/>
    </xf>
    <xf numFmtId="0" fontId="0" fillId="4" borderId="2" xfId="0" applyFill="1" applyBorder="1" applyAlignment="1">
      <alignment horizontal="center" vertical="center"/>
    </xf>
    <xf numFmtId="0" fontId="0" fillId="4" borderId="1" xfId="0" applyFill="1" applyBorder="1" applyAlignment="1">
      <alignment horizontal="center" vertical="center"/>
    </xf>
  </cellXfs>
  <cellStyles count="3">
    <cellStyle name="Hipervínculo 2" xfId="2" xr:uid="{28F22B0F-84AC-4CAD-9736-1F4DE68C2A5E}"/>
    <cellStyle name="Hyperlink" xfId="1" xr:uid="{00000000-000B-0000-0000-000008000000}"/>
    <cellStyle name="Normal" xfId="0" builtinId="0"/>
  </cellStyles>
  <dxfs count="0"/>
  <tableStyles count="0" defaultTableStyle="TableStyleMedium2" defaultPivotStyle="PivotStyleLight16"/>
  <colors>
    <mruColors>
      <color rgb="FFFF4A4A"/>
      <color rgb="FFFAC0C0"/>
      <color rgb="FFFFFFCC"/>
      <color rgb="FFCAED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6C2B-85CA-4E9D-ADDD-E1C89948D699}">
  <sheetPr filterMode="1"/>
  <dimension ref="A1:R26"/>
  <sheetViews>
    <sheetView tabSelected="1" workbookViewId="0">
      <pane ySplit="3" topLeftCell="B4" activePane="bottomLeft" state="frozen"/>
      <selection pane="bottomLeft" activeCell="H6" sqref="H6"/>
    </sheetView>
  </sheetViews>
  <sheetFormatPr defaultColWidth="11.42578125" defaultRowHeight="15"/>
  <cols>
    <col min="1" max="1" width="25.42578125" style="7" bestFit="1" customWidth="1"/>
    <col min="2" max="2" width="43.28515625" style="7" customWidth="1"/>
    <col min="3" max="3" width="21.85546875" style="7" bestFit="1" customWidth="1"/>
    <col min="4" max="4" width="15.42578125" style="7" bestFit="1" customWidth="1"/>
    <col min="5" max="5" width="23.140625" style="7" bestFit="1" customWidth="1"/>
    <col min="6" max="6" width="39.28515625" style="7" customWidth="1"/>
    <col min="7" max="7" width="11.42578125" style="7"/>
    <col min="8" max="8" width="20.85546875" style="7" customWidth="1"/>
    <col min="9" max="9" width="23.140625" style="7" bestFit="1" customWidth="1"/>
    <col min="10" max="10" width="39.5703125" style="7" bestFit="1" customWidth="1"/>
    <col min="11" max="11" width="44.28515625" style="7" customWidth="1"/>
    <col min="12" max="15" width="34.140625" style="7" customWidth="1"/>
    <col min="16" max="16" width="18.5703125" style="7" customWidth="1"/>
    <col min="17" max="17" width="18.42578125" style="7" customWidth="1"/>
    <col min="18" max="18" width="38" style="7" customWidth="1"/>
    <col min="19" max="16384" width="11.42578125" style="7"/>
  </cols>
  <sheetData>
    <row r="1" spans="1:18" ht="29.25">
      <c r="A1" s="63" t="s">
        <v>0</v>
      </c>
      <c r="B1" s="64"/>
      <c r="C1" s="64"/>
      <c r="D1" s="17" t="s">
        <v>1</v>
      </c>
      <c r="E1" s="65" t="s">
        <v>2</v>
      </c>
      <c r="F1" s="65"/>
      <c r="G1" s="66" t="s">
        <v>3</v>
      </c>
      <c r="H1" s="66" t="s">
        <v>4</v>
      </c>
      <c r="I1" s="59" t="s">
        <v>5</v>
      </c>
      <c r="J1" s="59"/>
      <c r="K1" s="59"/>
      <c r="L1" s="59"/>
      <c r="M1" s="59"/>
      <c r="N1" s="59"/>
      <c r="O1" s="59"/>
      <c r="P1" s="59"/>
      <c r="Q1" s="59"/>
      <c r="R1" s="60"/>
    </row>
    <row r="2" spans="1:18">
      <c r="A2" s="18" t="s">
        <v>6</v>
      </c>
      <c r="B2" s="11" t="s">
        <v>7</v>
      </c>
      <c r="C2" s="11" t="s">
        <v>8</v>
      </c>
      <c r="D2" s="10"/>
      <c r="E2" s="12" t="s">
        <v>6</v>
      </c>
      <c r="F2" s="12" t="s">
        <v>9</v>
      </c>
      <c r="G2" s="67"/>
      <c r="H2" s="67"/>
      <c r="I2" s="61"/>
      <c r="J2" s="61"/>
      <c r="K2" s="61"/>
      <c r="L2" s="61"/>
      <c r="M2" s="61"/>
      <c r="N2" s="61"/>
      <c r="O2" s="61"/>
      <c r="P2" s="61"/>
      <c r="Q2" s="61"/>
      <c r="R2" s="62"/>
    </row>
    <row r="3" spans="1:18">
      <c r="A3" s="18" t="s">
        <v>6</v>
      </c>
      <c r="B3" s="11" t="s">
        <v>10</v>
      </c>
      <c r="C3" s="11" t="s">
        <v>11</v>
      </c>
      <c r="D3" s="10"/>
      <c r="E3" s="12" t="s">
        <v>6</v>
      </c>
      <c r="F3" s="12" t="s">
        <v>12</v>
      </c>
      <c r="G3" s="67"/>
      <c r="H3" s="67"/>
      <c r="I3" s="8" t="s">
        <v>13</v>
      </c>
      <c r="J3" s="8" t="s">
        <v>14</v>
      </c>
      <c r="K3" s="8" t="s">
        <v>15</v>
      </c>
      <c r="L3" s="8" t="s">
        <v>16</v>
      </c>
      <c r="M3" s="8" t="s">
        <v>17</v>
      </c>
      <c r="N3" s="8" t="s">
        <v>18</v>
      </c>
      <c r="O3" s="8" t="s">
        <v>19</v>
      </c>
      <c r="P3" s="8" t="s">
        <v>20</v>
      </c>
      <c r="Q3" s="8" t="s">
        <v>21</v>
      </c>
      <c r="R3" s="9" t="s">
        <v>22</v>
      </c>
    </row>
    <row r="4" spans="1:18" ht="72.75">
      <c r="A4" s="19" t="s">
        <v>23</v>
      </c>
      <c r="B4" s="13" t="s">
        <v>24</v>
      </c>
      <c r="C4" s="13" t="s">
        <v>25</v>
      </c>
      <c r="D4" s="13" t="s">
        <v>26</v>
      </c>
      <c r="E4" s="13" t="s">
        <v>27</v>
      </c>
      <c r="F4" s="13" t="s">
        <v>28</v>
      </c>
      <c r="G4" s="14" t="s">
        <v>29</v>
      </c>
      <c r="H4" s="14"/>
      <c r="I4" s="39" t="s">
        <v>30</v>
      </c>
      <c r="J4" s="3" t="str">
        <f>_xlfn.CONCAT(I4,"-",F4)</f>
        <v>HU-BASE-001-Registrar información de un nuevo entrenador</v>
      </c>
      <c r="K4" s="3" t="str">
        <f>_xlfn.CONCAT($P$3," ",P4," ",$Q$3," ",Q4," ",$R$3," ",R4)</f>
        <v>Como Administrador del sistema Necesito Registrar información de un nuevo entrenador Para Permitir la gestión de los entrenadores e informes generados por la aplicación, para facilitar la supervisión y el seguimiento de los procesos.</v>
      </c>
      <c r="L4" s="3" t="s">
        <v>31</v>
      </c>
      <c r="M4" s="3" t="s">
        <v>31</v>
      </c>
      <c r="N4" s="3" t="s">
        <v>29</v>
      </c>
      <c r="O4" s="3"/>
      <c r="P4" s="3" t="str">
        <f>E4</f>
        <v>Administrador del sistema</v>
      </c>
      <c r="Q4" s="3" t="str">
        <f>F4</f>
        <v>Registrar información de un nuevo entrenador</v>
      </c>
      <c r="R4" s="4" t="str">
        <f>B4</f>
        <v>Permitir la gestión de los entrenadores e informes generados por la aplicación, para facilitar la supervisión y el seguimiento de los procesos.</v>
      </c>
    </row>
    <row r="5" spans="1:18" ht="87">
      <c r="A5" s="19" t="s">
        <v>32</v>
      </c>
      <c r="B5" s="13" t="s">
        <v>33</v>
      </c>
      <c r="C5" s="13" t="s">
        <v>34</v>
      </c>
      <c r="D5" s="15" t="s">
        <v>35</v>
      </c>
      <c r="E5" s="13" t="s">
        <v>36</v>
      </c>
      <c r="F5" s="6" t="s">
        <v>37</v>
      </c>
      <c r="G5" s="14" t="s">
        <v>29</v>
      </c>
      <c r="H5" s="14"/>
      <c r="I5" s="39" t="s">
        <v>38</v>
      </c>
      <c r="J5" s="3" t="str">
        <f>_xlfn.CONCAT(I5,"-",F5)</f>
        <v>HU-BASE-002-Comenzar un entrenamiento cognitivo</v>
      </c>
      <c r="K5" s="3" t="str">
        <f>_xlfn.CONCAT($P$3," ",P5," ",$Q$3," ",Q5," ",$R$3," ",R5)</f>
        <v>Como Estudiante Necesito poder iniciar el proceso de mi entrenamiento cognitivo Para Realizar los diferentes entrenamientos cognitivos asignados, con el fin de mejorar las habilidades cognitivas en las que se haya identificado una oportunidad de desarrollo en el estudiante. ​</v>
      </c>
      <c r="L5" s="3" t="s">
        <v>31</v>
      </c>
      <c r="M5" s="3" t="s">
        <v>39</v>
      </c>
      <c r="N5" s="3"/>
      <c r="O5" s="3"/>
      <c r="P5" s="3" t="s">
        <v>36</v>
      </c>
      <c r="Q5" s="3" t="s">
        <v>40</v>
      </c>
      <c r="R5" s="4" t="str">
        <f>B5</f>
        <v>Realizar los diferentes entrenamientos cognitivos asignados, con el fin de mejorar las habilidades cognitivas en las que se haya identificado una oportunidad de desarrollo en el estudiante. ​</v>
      </c>
    </row>
    <row r="6" spans="1:18" ht="165.75" customHeight="1">
      <c r="A6" s="19" t="s">
        <v>41</v>
      </c>
      <c r="B6" s="13" t="s">
        <v>42</v>
      </c>
      <c r="C6" s="13" t="s">
        <v>43</v>
      </c>
      <c r="D6" s="15" t="s">
        <v>44</v>
      </c>
      <c r="E6" s="13" t="s">
        <v>26</v>
      </c>
      <c r="F6" s="13" t="s">
        <v>45</v>
      </c>
      <c r="G6" s="14" t="s">
        <v>29</v>
      </c>
      <c r="H6" s="14"/>
      <c r="I6" s="39" t="s">
        <v>46</v>
      </c>
      <c r="J6" s="3" t="str">
        <f>_xlfn.CONCAT(I6,"-",F6)</f>
        <v>HU-BASE-003-Dar acceso a entrenamiento cognitivo</v>
      </c>
      <c r="K6" s="3" t="str">
        <f>_xlfn.CONCAT($P$3," ",P6," ",$Q$3," ",Q6," ",$R$3," ",R6)</f>
        <v>Como Entrenador Necesito brindar acceso a los estudiantes a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6" s="3" t="s">
        <v>31</v>
      </c>
      <c r="M6" s="3" t="s">
        <v>39</v>
      </c>
      <c r="N6" s="3"/>
      <c r="O6" s="3"/>
      <c r="P6" s="3" t="s">
        <v>26</v>
      </c>
      <c r="Q6" s="3" t="s">
        <v>47</v>
      </c>
      <c r="R6" s="4" t="str">
        <f>B6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7" spans="1:18" ht="163.5" customHeight="1">
      <c r="A7" s="19" t="s">
        <v>41</v>
      </c>
      <c r="B7" s="13" t="s">
        <v>42</v>
      </c>
      <c r="C7" s="13" t="s">
        <v>48</v>
      </c>
      <c r="D7" s="15" t="s">
        <v>35</v>
      </c>
      <c r="E7" s="13" t="s">
        <v>26</v>
      </c>
      <c r="F7" s="13" t="s">
        <v>49</v>
      </c>
      <c r="G7" s="14" t="s">
        <v>29</v>
      </c>
      <c r="H7" s="14"/>
      <c r="I7" s="39" t="s">
        <v>50</v>
      </c>
      <c r="J7" s="3" t="str">
        <f t="shared" ref="J7:J18" si="0">_xlfn.CONCAT(I7,"-",F7)</f>
        <v>HU-BASE-004-Generar informes de entrenamientos cognitivos creados asignados</v>
      </c>
      <c r="K7" s="3" t="str">
        <f t="shared" ref="K7:K18" si="1">_xlfn.CONCAT($P$3," ",P7," ",$Q$3," ",Q7," ",$R$3," ",R7)</f>
        <v>Como Entrenador Necesito poder generar informes de los entrenamientos cognitivos asignados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7" s="3" t="s">
        <v>39</v>
      </c>
      <c r="M7" s="3" t="s">
        <v>31</v>
      </c>
      <c r="N7" s="3"/>
      <c r="O7" s="3"/>
      <c r="P7" s="3" t="str">
        <f t="shared" ref="P7:P18" si="2">E7</f>
        <v>Entrenador</v>
      </c>
      <c r="Q7" s="3" t="s">
        <v>51</v>
      </c>
      <c r="R7" s="4" t="str">
        <f>B7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8" spans="1:18" ht="173.25" customHeight="1">
      <c r="A8" s="19" t="s">
        <v>41</v>
      </c>
      <c r="B8" s="13" t="s">
        <v>42</v>
      </c>
      <c r="C8" s="13" t="s">
        <v>52</v>
      </c>
      <c r="D8" s="15" t="s">
        <v>53</v>
      </c>
      <c r="E8" s="13" t="s">
        <v>26</v>
      </c>
      <c r="F8" s="13" t="s">
        <v>54</v>
      </c>
      <c r="G8" s="14" t="s">
        <v>29</v>
      </c>
      <c r="H8" s="14"/>
      <c r="I8" s="39" t="s">
        <v>55</v>
      </c>
      <c r="J8" s="3" t="str">
        <f t="shared" si="0"/>
        <v>HU-BASE-005-Consultar historial de entrenamiento cognitivo</v>
      </c>
      <c r="K8" s="3" t="str">
        <f t="shared" si="1"/>
        <v>Como Entrenador Necesito poder consultar el historial de actividad de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8" s="3" t="s">
        <v>56</v>
      </c>
      <c r="M8" s="3" t="s">
        <v>31</v>
      </c>
      <c r="N8" s="3"/>
      <c r="O8" s="3"/>
      <c r="P8" s="3" t="str">
        <f t="shared" si="2"/>
        <v>Entrenador</v>
      </c>
      <c r="Q8" s="3" t="s">
        <v>57</v>
      </c>
      <c r="R8" s="4" t="str">
        <f>B8</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9" spans="1:18" ht="159">
      <c r="A9" s="19" t="s">
        <v>41</v>
      </c>
      <c r="B9" s="13" t="s">
        <v>42</v>
      </c>
      <c r="C9" s="13" t="s">
        <v>43</v>
      </c>
      <c r="D9" s="13" t="s">
        <v>35</v>
      </c>
      <c r="E9" s="13" t="s">
        <v>26</v>
      </c>
      <c r="F9" s="13" t="s">
        <v>58</v>
      </c>
      <c r="G9" s="14" t="s">
        <v>29</v>
      </c>
      <c r="H9" s="14"/>
      <c r="I9" s="39" t="s">
        <v>59</v>
      </c>
      <c r="J9" s="3" t="str">
        <f t="shared" si="0"/>
        <v>HU-BASE-006-Crear un nuevo entrenamiento cognitivo</v>
      </c>
      <c r="K9" s="3" t="str">
        <f t="shared" si="1"/>
        <v>Como Entrenador Necesito poder crear un nuevo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9" s="3" t="s">
        <v>31</v>
      </c>
      <c r="M9" s="3" t="s">
        <v>39</v>
      </c>
      <c r="N9" s="3"/>
      <c r="O9" s="3"/>
      <c r="P9" s="3" t="str">
        <f t="shared" si="2"/>
        <v>Entrenador</v>
      </c>
      <c r="Q9" s="3" t="s">
        <v>60</v>
      </c>
      <c r="R9" s="4" t="str">
        <f>B9</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0" spans="1:18" ht="159">
      <c r="A10" s="19" t="s">
        <v>41</v>
      </c>
      <c r="B10" s="13" t="s">
        <v>42</v>
      </c>
      <c r="C10" s="13" t="s">
        <v>43</v>
      </c>
      <c r="D10" s="13" t="s">
        <v>35</v>
      </c>
      <c r="E10" s="13" t="s">
        <v>26</v>
      </c>
      <c r="F10" s="13" t="s">
        <v>61</v>
      </c>
      <c r="G10" s="14" t="s">
        <v>29</v>
      </c>
      <c r="H10" s="14"/>
      <c r="I10" s="39" t="s">
        <v>62</v>
      </c>
      <c r="J10" s="3" t="str">
        <f t="shared" si="0"/>
        <v>HU-BASE-007-Modificar un entrenamiento cognitivo</v>
      </c>
      <c r="K10" s="3" t="str">
        <f t="shared" si="1"/>
        <v>Como Entrenador Necesito poder editar un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0" s="3" t="s">
        <v>31</v>
      </c>
      <c r="M10" s="3" t="s">
        <v>39</v>
      </c>
      <c r="N10" s="3"/>
      <c r="O10" s="3"/>
      <c r="P10" s="3" t="str">
        <f t="shared" si="2"/>
        <v>Entrenador</v>
      </c>
      <c r="Q10" s="3" t="s">
        <v>63</v>
      </c>
      <c r="R10" s="4" t="str">
        <f>B10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1" spans="1:18" ht="159">
      <c r="A11" s="19" t="s">
        <v>41</v>
      </c>
      <c r="B11" s="13" t="s">
        <v>42</v>
      </c>
      <c r="C11" s="13" t="s">
        <v>43</v>
      </c>
      <c r="D11" s="13" t="s">
        <v>44</v>
      </c>
      <c r="E11" s="13" t="s">
        <v>26</v>
      </c>
      <c r="F11" s="6" t="s">
        <v>64</v>
      </c>
      <c r="G11" s="14" t="s">
        <v>29</v>
      </c>
      <c r="H11" s="14"/>
      <c r="I11" s="39" t="s">
        <v>65</v>
      </c>
      <c r="J11" s="3" t="str">
        <f t="shared" ref="J11" si="3">_xlfn.CONCAT(I11,"-",F11)</f>
        <v>HU-BASE-008-Iniciar sesion de entrenamiento</v>
      </c>
      <c r="K11" s="3" t="str">
        <f t="shared" ref="K11" si="4">_xlfn.CONCAT($P$3," ",P11," ",$Q$3," ",Q11," ",$R$3," ",R11)</f>
        <v>Como Entrenador Necesito poder iniciar una nueva sesión de entrenamiento inmediatamente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1" s="3" t="s">
        <v>31</v>
      </c>
      <c r="M11" s="3" t="s">
        <v>31</v>
      </c>
      <c r="N11" s="3"/>
      <c r="O11" s="3"/>
      <c r="P11" s="3" t="str">
        <f t="shared" ref="P11" si="5">E11</f>
        <v>Entrenador</v>
      </c>
      <c r="Q11" s="3" t="s">
        <v>66</v>
      </c>
      <c r="R11" s="4" t="str">
        <f>B11</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2" spans="1:18" ht="87">
      <c r="A12" s="19" t="s">
        <v>32</v>
      </c>
      <c r="B12" s="13" t="s">
        <v>33</v>
      </c>
      <c r="C12" s="13" t="s">
        <v>34</v>
      </c>
      <c r="D12" s="13" t="s">
        <v>53</v>
      </c>
      <c r="E12" s="13" t="s">
        <v>36</v>
      </c>
      <c r="F12" s="13" t="s">
        <v>67</v>
      </c>
      <c r="G12" s="14" t="s">
        <v>29</v>
      </c>
      <c r="H12" s="14"/>
      <c r="I12" s="39" t="s">
        <v>68</v>
      </c>
      <c r="J12" s="3" t="str">
        <f t="shared" si="0"/>
        <v>HU-BASE-009-Ingresar a una variable cognitiva a la que tenga acceso</v>
      </c>
      <c r="K12" s="3" t="str">
        <f t="shared" si="1"/>
        <v>Como Estudiante Necesito poder ingresar a una variable cognitiva a la que tenga acceso Para Realizar los diferentes entrenamientos cognitivos asignados, con el fin de mejorar las habilidades cognitivas en las que se haya identificado una oportunidad de desarrollo en el estudiante. ​</v>
      </c>
      <c r="L12" s="3" t="s">
        <v>31</v>
      </c>
      <c r="M12" s="3" t="s">
        <v>31</v>
      </c>
      <c r="N12" s="3"/>
      <c r="O12" s="3"/>
      <c r="P12" s="3" t="str">
        <f t="shared" si="2"/>
        <v>Estudiante</v>
      </c>
      <c r="Q12" s="3" t="s">
        <v>69</v>
      </c>
      <c r="R12" s="4" t="str">
        <f>B12</f>
        <v>Realizar los diferentes entrenamientos cognitivos asignados, con el fin de mejorar las habilidades cognitivas en las que se haya identificado una oportunidad de desarrollo en el estudiante. ​</v>
      </c>
    </row>
    <row r="13" spans="1:18" ht="101.25">
      <c r="A13" s="19" t="s">
        <v>32</v>
      </c>
      <c r="B13" s="13" t="s">
        <v>33</v>
      </c>
      <c r="C13" s="13" t="s">
        <v>34</v>
      </c>
      <c r="D13" s="15" t="s">
        <v>53</v>
      </c>
      <c r="E13" s="13" t="s">
        <v>36</v>
      </c>
      <c r="F13" s="13" t="s">
        <v>70</v>
      </c>
      <c r="G13" s="14" t="s">
        <v>29</v>
      </c>
      <c r="H13" s="14"/>
      <c r="I13" s="39" t="s">
        <v>71</v>
      </c>
      <c r="J13" s="3" t="str">
        <f t="shared" si="0"/>
        <v>HU-BASE-010-Abandonar variable cognitiva</v>
      </c>
      <c r="K13" s="3" t="str">
        <f t="shared" si="1"/>
        <v>Como Estudiante Necesito poder abandonar el entrenamiento cognitivo que esté desarrollando Para Realizar los diferentes entrenamientos cognitivos asignados, con el fin de mejorar las habilidades cognitivas en las que se haya identificado una oportunidad de desarrollo en el estudiante. ​</v>
      </c>
      <c r="L13" s="3" t="s">
        <v>56</v>
      </c>
      <c r="M13" s="3" t="s">
        <v>56</v>
      </c>
      <c r="N13" s="3"/>
      <c r="O13" s="3"/>
      <c r="P13" s="3" t="str">
        <f t="shared" si="2"/>
        <v>Estudiante</v>
      </c>
      <c r="Q13" s="3" t="s">
        <v>72</v>
      </c>
      <c r="R13" s="4" t="str">
        <f>B13</f>
        <v>Realizar los diferentes entrenamientos cognitivos asignados, con el fin de mejorar las habilidades cognitivas en las que se haya identificado una oportunidad de desarrollo en el estudiante. ​</v>
      </c>
    </row>
    <row r="14" spans="1:18" ht="159">
      <c r="A14" s="19" t="s">
        <v>41</v>
      </c>
      <c r="B14" s="13" t="s">
        <v>42</v>
      </c>
      <c r="C14" s="13" t="s">
        <v>73</v>
      </c>
      <c r="D14" s="13" t="s">
        <v>36</v>
      </c>
      <c r="E14" s="13" t="s">
        <v>26</v>
      </c>
      <c r="F14" s="13" t="s">
        <v>74</v>
      </c>
      <c r="G14" s="14" t="s">
        <v>29</v>
      </c>
      <c r="H14" s="14"/>
      <c r="I14" s="39" t="s">
        <v>75</v>
      </c>
      <c r="J14" s="3" t="str">
        <f t="shared" si="0"/>
        <v>HU-BASE-011-Registrar un nuevo estudiante</v>
      </c>
      <c r="K14" s="3" t="str">
        <f t="shared" si="1"/>
        <v>Como Entrenador Necesito poder registrar a un nuevo estudiante remitido por pedagogos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4" s="3" t="s">
        <v>31</v>
      </c>
      <c r="M14" s="3" t="s">
        <v>31</v>
      </c>
      <c r="N14" s="3"/>
      <c r="O14" s="3"/>
      <c r="P14" s="3" t="str">
        <f t="shared" si="2"/>
        <v>Entrenador</v>
      </c>
      <c r="Q14" s="3" t="s">
        <v>76</v>
      </c>
      <c r="R14" s="4" t="str">
        <f>B14</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5" spans="1:18" ht="159">
      <c r="A15" s="19" t="s">
        <v>41</v>
      </c>
      <c r="B15" s="13" t="s">
        <v>42</v>
      </c>
      <c r="C15" s="13" t="s">
        <v>43</v>
      </c>
      <c r="D15" s="15" t="s">
        <v>53</v>
      </c>
      <c r="E15" s="13" t="s">
        <v>26</v>
      </c>
      <c r="F15" s="13" t="s">
        <v>77</v>
      </c>
      <c r="G15" s="14" t="s">
        <v>29</v>
      </c>
      <c r="H15" s="14"/>
      <c r="I15" s="39" t="s">
        <v>78</v>
      </c>
      <c r="J15" s="3" t="str">
        <f t="shared" si="0"/>
        <v>HU-BASE-012-Aprobar abandono de variable cognitiva del estudiante</v>
      </c>
      <c r="K15" s="3" t="str">
        <f t="shared" si="1"/>
        <v>Como Entrenador Necesito poder aprobar el abandono de un estudiante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5" s="3" t="s">
        <v>56</v>
      </c>
      <c r="M15" s="3" t="s">
        <v>56</v>
      </c>
      <c r="N15" s="3"/>
      <c r="O15" s="3"/>
      <c r="P15" s="3" t="str">
        <f t="shared" si="2"/>
        <v>Entrenador</v>
      </c>
      <c r="Q15" s="3" t="s">
        <v>79</v>
      </c>
      <c r="R15" s="4" t="str">
        <f>B15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6" spans="1:18" ht="72.75">
      <c r="A16" s="19" t="s">
        <v>23</v>
      </c>
      <c r="B16" s="13" t="s">
        <v>24</v>
      </c>
      <c r="C16" s="13" t="s">
        <v>52</v>
      </c>
      <c r="D16" s="15" t="s">
        <v>35</v>
      </c>
      <c r="E16" s="13" t="s">
        <v>27</v>
      </c>
      <c r="F16" s="13" t="s">
        <v>80</v>
      </c>
      <c r="G16" s="14" t="s">
        <v>29</v>
      </c>
      <c r="H16" s="14"/>
      <c r="I16" s="39" t="s">
        <v>81</v>
      </c>
      <c r="J16" s="3" t="str">
        <f t="shared" si="0"/>
        <v>HU-BASE-013-Generar informes de entrenamientos cognitivos creados</v>
      </c>
      <c r="K16" s="3" t="str">
        <f t="shared" si="1"/>
        <v>Como Administrador del sistema Necesito poder generar informes de los entrenamientos cognitivos Para Permitir la gestión de los entrenadores e informes generados por la aplicación, para facilitar la supervisión y el seguimiento de los procesos.</v>
      </c>
      <c r="L16" s="3" t="s">
        <v>39</v>
      </c>
      <c r="M16" s="3" t="s">
        <v>31</v>
      </c>
      <c r="N16" s="3"/>
      <c r="O16" s="3"/>
      <c r="P16" s="3" t="str">
        <f t="shared" si="2"/>
        <v>Administrador del sistema</v>
      </c>
      <c r="Q16" s="3" t="s">
        <v>82</v>
      </c>
      <c r="R16" s="4" t="str">
        <f>B16</f>
        <v>Permitir la gestión de los entrenadores e informes generados por la aplicación, para facilitar la supervisión y el seguimiento de los procesos.</v>
      </c>
    </row>
    <row r="17" spans="1:18" ht="159">
      <c r="A17" s="19" t="s">
        <v>41</v>
      </c>
      <c r="B17" s="13" t="s">
        <v>42</v>
      </c>
      <c r="C17" s="13" t="s">
        <v>52</v>
      </c>
      <c r="D17" s="13" t="s">
        <v>44</v>
      </c>
      <c r="E17" s="13" t="s">
        <v>26</v>
      </c>
      <c r="F17" s="13" t="s">
        <v>83</v>
      </c>
      <c r="G17" s="14" t="s">
        <v>29</v>
      </c>
      <c r="H17" s="14"/>
      <c r="I17" s="39" t="s">
        <v>84</v>
      </c>
      <c r="J17" s="3" t="str">
        <f t="shared" si="0"/>
        <v>HU-BASE-014-Crear observación de sesión de entrenamiento</v>
      </c>
      <c r="K17" s="3" t="str">
        <f t="shared" si="1"/>
        <v>Como Entrenador Necesito poder generar comentarios sobre la sesión de un estudiante en su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7" s="3" t="s">
        <v>31</v>
      </c>
      <c r="M17" s="3" t="s">
        <v>31</v>
      </c>
      <c r="N17" s="3"/>
      <c r="O17" s="3"/>
      <c r="P17" s="3" t="str">
        <f t="shared" si="2"/>
        <v>Entrenador</v>
      </c>
      <c r="Q17" s="3" t="s">
        <v>85</v>
      </c>
      <c r="R17" s="4" t="str">
        <f>B17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8" spans="1:18" ht="72.75">
      <c r="A18" s="19" t="s">
        <v>23</v>
      </c>
      <c r="B18" s="13" t="s">
        <v>24</v>
      </c>
      <c r="C18" s="13" t="s">
        <v>86</v>
      </c>
      <c r="D18" s="13" t="s">
        <v>26</v>
      </c>
      <c r="E18" s="13" t="s">
        <v>27</v>
      </c>
      <c r="F18" s="13" t="s">
        <v>87</v>
      </c>
      <c r="G18" s="14" t="s">
        <v>29</v>
      </c>
      <c r="H18" s="14"/>
      <c r="I18" s="39" t="s">
        <v>88</v>
      </c>
      <c r="J18" s="3" t="str">
        <f t="shared" si="0"/>
        <v>HU-BASE-015-Modificar información de entrenadores</v>
      </c>
      <c r="K18" s="3" t="str">
        <f t="shared" si="1"/>
        <v>Como Administrador del sistema Necesito poder modificar a los entrenadores de la aplicación Para Permitir la gestión de los entrenadores e informes generados por la aplicación, para facilitar la supervisión y el seguimiento de los procesos.</v>
      </c>
      <c r="L18" s="3" t="s">
        <v>31</v>
      </c>
      <c r="M18" s="3" t="s">
        <v>31</v>
      </c>
      <c r="N18" s="3"/>
      <c r="O18" s="3"/>
      <c r="P18" s="3" t="str">
        <f t="shared" si="2"/>
        <v>Administrador del sistema</v>
      </c>
      <c r="Q18" s="3" t="s">
        <v>89</v>
      </c>
      <c r="R18" s="4" t="str">
        <f>B18</f>
        <v>Permitir la gestión de los entrenadores e informes generados por la aplicación, para facilitar la supervisión y el seguimiento de los procesos.</v>
      </c>
    </row>
    <row r="19" spans="1:18" ht="87">
      <c r="A19" s="19" t="s">
        <v>23</v>
      </c>
      <c r="B19" s="13" t="s">
        <v>24</v>
      </c>
      <c r="C19" s="13" t="s">
        <v>86</v>
      </c>
      <c r="D19" s="13" t="s">
        <v>26</v>
      </c>
      <c r="E19" s="13" t="s">
        <v>27</v>
      </c>
      <c r="F19" s="13" t="s">
        <v>90</v>
      </c>
      <c r="G19" s="14" t="s">
        <v>29</v>
      </c>
      <c r="H19" s="14"/>
      <c r="I19" s="39" t="s">
        <v>91</v>
      </c>
      <c r="J19" s="3" t="str">
        <f>_xlfn.CONCAT(I19,"-",F19)</f>
        <v>HU-BASE-016-Consultar información de entrenadores</v>
      </c>
      <c r="K19" s="3" t="str">
        <f>_xlfn.CONCAT($P$3," ",P19," ",$Q$3," ",Q19," ",$R$3," ",R19)</f>
        <v>Como Administrador del sistema Necesito poder consultar los entrenadores que se encuentran registrados en la aplicación Para Permitir la gestión de los entrenadores e informes generados por la aplicación, para facilitar la supervisión y el seguimiento de los procesos.</v>
      </c>
      <c r="L19" s="3" t="s">
        <v>56</v>
      </c>
      <c r="M19" s="3" t="s">
        <v>56</v>
      </c>
      <c r="N19" s="3"/>
      <c r="O19" s="3"/>
      <c r="P19" s="3" t="str">
        <f>E19</f>
        <v>Administrador del sistema</v>
      </c>
      <c r="Q19" s="3" t="s">
        <v>92</v>
      </c>
      <c r="R19" s="4" t="str">
        <f>B19</f>
        <v>Permitir la gestión de los entrenadores e informes generados por la aplicación, para facilitar la supervisión y el seguimiento de los procesos.</v>
      </c>
    </row>
    <row r="20" spans="1:18" ht="159">
      <c r="A20" s="19" t="s">
        <v>32</v>
      </c>
      <c r="B20" s="13" t="s">
        <v>42</v>
      </c>
      <c r="C20" s="13" t="s">
        <v>73</v>
      </c>
      <c r="D20" s="13" t="s">
        <v>36</v>
      </c>
      <c r="E20" s="13" t="s">
        <v>26</v>
      </c>
      <c r="F20" s="13" t="s">
        <v>93</v>
      </c>
      <c r="G20" s="14" t="s">
        <v>29</v>
      </c>
      <c r="H20" s="14"/>
      <c r="I20" s="39" t="s">
        <v>94</v>
      </c>
      <c r="J20" s="3" t="str">
        <f>_xlfn.CONCAT(I20,"-",F20)</f>
        <v>HU-BASE-017-Consultar información de estudiantes</v>
      </c>
      <c r="K20" s="3" t="str">
        <f>_xlfn.CONCAT($P$3," ",P20," ",$Q$3," ",Q20," ",$R$3," ",R20)</f>
        <v>Como Entrenador Necesito poder consultar los perfiles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0" s="3" t="s">
        <v>31</v>
      </c>
      <c r="M20" s="3" t="s">
        <v>31</v>
      </c>
      <c r="N20" s="3"/>
      <c r="O20" s="3"/>
      <c r="P20" s="3" t="str">
        <f>E20</f>
        <v>Entrenador</v>
      </c>
      <c r="Q20" s="3" t="s">
        <v>95</v>
      </c>
      <c r="R20" s="4" t="str">
        <f>B20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1" spans="1:18" ht="87">
      <c r="A21" s="19" t="s">
        <v>32</v>
      </c>
      <c r="B21" s="13" t="s">
        <v>33</v>
      </c>
      <c r="C21" s="13" t="s">
        <v>34</v>
      </c>
      <c r="D21" s="13" t="s">
        <v>36</v>
      </c>
      <c r="E21" s="13" t="s">
        <v>36</v>
      </c>
      <c r="F21" s="13" t="s">
        <v>96</v>
      </c>
      <c r="G21" s="14" t="s">
        <v>29</v>
      </c>
      <c r="H21" s="14"/>
      <c r="I21" s="39" t="s">
        <v>97</v>
      </c>
      <c r="J21" s="3" t="str">
        <f>_xlfn.CONCAT(I21,"-",F21)</f>
        <v>HU-BASE-018-Seleccionar identidad de género</v>
      </c>
      <c r="K21" s="3" t="str">
        <f>_xlfn.CONCAT($P$3," ",P21," ",$Q$3," ",Q21," ",$R$3," ",R21)</f>
        <v>Como Estudiante Necesito poder seleccionar el género del personaje que voy a usar Para Realizar los diferentes entrenamientos cognitivos asignados, con el fin de mejorar las habilidades cognitivas en las que se haya identificado una oportunidad de desarrollo en el estudiante. ​</v>
      </c>
      <c r="L21" s="3" t="s">
        <v>56</v>
      </c>
      <c r="M21" s="3" t="s">
        <v>56</v>
      </c>
      <c r="N21" s="3"/>
      <c r="O21" s="3"/>
      <c r="P21" s="3" t="str">
        <f>E21</f>
        <v>Estudiante</v>
      </c>
      <c r="Q21" s="3" t="s">
        <v>98</v>
      </c>
      <c r="R21" s="4" t="str">
        <f>B21</f>
        <v>Realizar los diferentes entrenamientos cognitivos asignados, con el fin de mejorar las habilidades cognitivas en las que se haya identificado una oportunidad de desarrollo en el estudiante. ​</v>
      </c>
    </row>
    <row r="22" spans="1:18" ht="159">
      <c r="A22" s="19" t="s">
        <v>41</v>
      </c>
      <c r="B22" s="13" t="s">
        <v>42</v>
      </c>
      <c r="C22" s="13" t="s">
        <v>43</v>
      </c>
      <c r="D22" s="13" t="s">
        <v>53</v>
      </c>
      <c r="E22" s="13" t="s">
        <v>26</v>
      </c>
      <c r="F22" s="13" t="s">
        <v>99</v>
      </c>
      <c r="G22" s="14" t="s">
        <v>29</v>
      </c>
      <c r="H22" s="14"/>
      <c r="I22" s="39" t="s">
        <v>100</v>
      </c>
      <c r="J22" s="3" t="str">
        <f t="shared" ref="J22:J25" si="6">_xlfn.CONCAT(I22,"-",F22)</f>
        <v>HU-BASE-019-Guardar progreso del entrenamiento</v>
      </c>
      <c r="K22" s="3" t="str">
        <f t="shared" ref="K22:K25" si="7">_xlfn.CONCAT($P$3," ",P22," ",$Q$3," ",Q22," ",$R$3," ",R22)</f>
        <v>Como Entrenador Necesito poder guardar el progreso del entrenamiento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2" s="3" t="s">
        <v>56</v>
      </c>
      <c r="M22" s="3" t="s">
        <v>56</v>
      </c>
      <c r="N22" s="3"/>
      <c r="O22" s="3"/>
      <c r="P22" s="3" t="str">
        <f t="shared" ref="P22:P25" si="8">E22</f>
        <v>Entrenador</v>
      </c>
      <c r="Q22" s="3" t="s">
        <v>101</v>
      </c>
      <c r="R22" s="4" t="str">
        <f>B22</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3" spans="1:18" ht="72.75">
      <c r="A23" s="19" t="s">
        <v>23</v>
      </c>
      <c r="B23" s="13" t="s">
        <v>24</v>
      </c>
      <c r="C23" s="13" t="s">
        <v>86</v>
      </c>
      <c r="D23" s="13" t="s">
        <v>26</v>
      </c>
      <c r="E23" s="13" t="s">
        <v>27</v>
      </c>
      <c r="F23" s="13" t="s">
        <v>102</v>
      </c>
      <c r="G23" s="14" t="s">
        <v>29</v>
      </c>
      <c r="H23" s="14"/>
      <c r="I23" s="39" t="s">
        <v>103</v>
      </c>
      <c r="J23" s="3" t="str">
        <f t="shared" si="6"/>
        <v>HU-BASE-020-Activar entrenadores</v>
      </c>
      <c r="K23" s="3" t="str">
        <f t="shared" si="7"/>
        <v>Como Administrador del sistema Necesito poder activar los perfiles de los entrenadores Para Permitir la gestión de los entrenadores e informes generados por la aplicación, para facilitar la supervisión y el seguimiento de los procesos.</v>
      </c>
      <c r="L23" s="3" t="s">
        <v>56</v>
      </c>
      <c r="M23" s="3" t="s">
        <v>56</v>
      </c>
      <c r="N23" s="3"/>
      <c r="O23" s="3"/>
      <c r="P23" s="3" t="str">
        <f t="shared" si="8"/>
        <v>Administrador del sistema</v>
      </c>
      <c r="Q23" s="3" t="s">
        <v>104</v>
      </c>
      <c r="R23" s="4" t="str">
        <f>B23</f>
        <v>Permitir la gestión de los entrenadores e informes generados por la aplicación, para facilitar la supervisión y el seguimiento de los procesos.</v>
      </c>
    </row>
    <row r="24" spans="1:18" ht="72.75">
      <c r="A24" s="19" t="s">
        <v>23</v>
      </c>
      <c r="B24" s="16" t="s">
        <v>24</v>
      </c>
      <c r="C24" s="13" t="s">
        <v>86</v>
      </c>
      <c r="D24" s="13" t="s">
        <v>26</v>
      </c>
      <c r="E24" s="13" t="s">
        <v>27</v>
      </c>
      <c r="F24" s="13" t="s">
        <v>105</v>
      </c>
      <c r="G24" s="14" t="s">
        <v>29</v>
      </c>
      <c r="H24" s="14"/>
      <c r="I24" s="39" t="s">
        <v>106</v>
      </c>
      <c r="J24" s="3" t="str">
        <f t="shared" si="6"/>
        <v>HU-BASE-021-Desactivar entrenadores</v>
      </c>
      <c r="K24" s="3" t="str">
        <f t="shared" si="7"/>
        <v>Como Administrador del sistema Necesito poder desactivar los perfiles de los entrenadores Para Permitir la gestión de los entrenadores e informes generados por la aplicación, para facilitar la supervisión y el seguimiento de los procesos.</v>
      </c>
      <c r="L24" s="3" t="s">
        <v>56</v>
      </c>
      <c r="M24" s="3" t="s">
        <v>56</v>
      </c>
      <c r="N24" s="3"/>
      <c r="O24" s="3"/>
      <c r="P24" s="3" t="str">
        <f t="shared" si="8"/>
        <v>Administrador del sistema</v>
      </c>
      <c r="Q24" s="3" t="s">
        <v>107</v>
      </c>
      <c r="R24" s="4" t="str">
        <f>B24</f>
        <v>Permitir la gestión de los entrenadores e informes generados por la aplicación, para facilitar la supervisión y el seguimiento de los procesos.</v>
      </c>
    </row>
    <row r="25" spans="1:18" ht="159">
      <c r="A25" s="19" t="s">
        <v>41</v>
      </c>
      <c r="B25" s="13" t="s">
        <v>42</v>
      </c>
      <c r="C25" s="13" t="s">
        <v>73</v>
      </c>
      <c r="D25" s="13" t="s">
        <v>36</v>
      </c>
      <c r="E25" s="13" t="s">
        <v>26</v>
      </c>
      <c r="F25" s="13" t="s">
        <v>108</v>
      </c>
      <c r="G25" s="14" t="s">
        <v>29</v>
      </c>
      <c r="H25" s="14"/>
      <c r="I25" s="39" t="s">
        <v>109</v>
      </c>
      <c r="J25" s="47" t="str">
        <f t="shared" si="6"/>
        <v>HU-BASE-022-Modificar información de estudiantes</v>
      </c>
      <c r="K25" s="3" t="str">
        <f t="shared" si="7"/>
        <v>Como Entrenador Necesito poder modificar la información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5" s="3" t="s">
        <v>31</v>
      </c>
      <c r="M25" s="3" t="s">
        <v>31</v>
      </c>
      <c r="N25" s="3"/>
      <c r="O25" s="3"/>
      <c r="P25" s="3" t="str">
        <f t="shared" si="8"/>
        <v>Entrenador</v>
      </c>
      <c r="Q25" s="3" t="s">
        <v>110</v>
      </c>
      <c r="R25" s="4" t="str">
        <f>B25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6" spans="1:18" ht="159">
      <c r="A26" s="20" t="s">
        <v>41</v>
      </c>
      <c r="B26" s="21" t="s">
        <v>42</v>
      </c>
      <c r="C26" s="21" t="s">
        <v>52</v>
      </c>
      <c r="D26" s="21" t="s">
        <v>35</v>
      </c>
      <c r="E26" s="21" t="s">
        <v>26</v>
      </c>
      <c r="F26" s="21" t="s">
        <v>111</v>
      </c>
      <c r="G26" s="22" t="s">
        <v>29</v>
      </c>
      <c r="H26" s="22"/>
      <c r="I26" s="58" t="s">
        <v>112</v>
      </c>
      <c r="J26" s="5" t="str">
        <f t="shared" ref="J26" si="9">_xlfn.CONCAT(I26,"-",F26)</f>
        <v>HU-BASE-023-Descargar informe de entrenamiento cognitivo</v>
      </c>
      <c r="K26" s="5" t="str">
        <f t="shared" ref="K26" si="10">_xlfn.CONCAT($P$3," ",P26," ",$Q$3," ",Q26," ",$R$3," ",R26)</f>
        <v>Como Entrenador Necesito poder descargar el informe del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6" s="5" t="s">
        <v>31</v>
      </c>
      <c r="M26" s="5" t="s">
        <v>31</v>
      </c>
      <c r="N26" s="5"/>
      <c r="O26" s="5"/>
      <c r="P26" s="5" t="str">
        <f t="shared" ref="P26" si="11">E26</f>
        <v>Entrenador</v>
      </c>
      <c r="Q26" s="5" t="s">
        <v>113</v>
      </c>
      <c r="R26" s="4" t="str">
        <f>B26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sheetData>
  <autoFilter ref="A1:R18" xr:uid="{CFA06C2B-85CA-4E9D-ADDD-E1C89948D699}">
    <filterColumn colId="0" showButton="0"/>
    <filterColumn colId="1" showButton="0"/>
    <filterColumn colId="4" showButton="0">
      <filters>
        <filter val="Actor"/>
        <filter val="Estudiante"/>
      </filters>
    </filterColumn>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5">
    <mergeCell ref="I1:R2"/>
    <mergeCell ref="A1:C1"/>
    <mergeCell ref="E1:F1"/>
    <mergeCell ref="G1:G3"/>
    <mergeCell ref="H1:H3"/>
  </mergeCells>
  <dataValidations count="1">
    <dataValidation allowBlank="1" showInputMessage="1" showErrorMessage="1" sqref="O4" xr:uid="{115917FF-BE47-4B31-B36A-AE96F41B0B45}"/>
  </dataValidations>
  <hyperlinks>
    <hyperlink ref="I4" location="'HU-BASE-001'!A1" display="HU-BASE-001" xr:uid="{A823EA6E-2D3A-4B66-A42E-7ACFE2AAF9B4}"/>
    <hyperlink ref="I5" location="'HU-BASE-002'!A1" display="HU-BASE-002" xr:uid="{8753A206-A45E-4EB9-8D37-C70B98789B5C}"/>
    <hyperlink ref="I6" location="'HU-BASE-003'!A1" display="HU-BASE-003" xr:uid="{40B233AD-5DEC-4907-BA29-BC3D7BBB3D73}"/>
    <hyperlink ref="I7" location="'HU-BASE-004'!A1" display="HU-BASE-004" xr:uid="{076691C1-1C9A-47C5-8E18-3721EA2AD71E}"/>
    <hyperlink ref="I8" location="'HU-BASE-005'!A1" display="HU-BASE-005" xr:uid="{97EAD965-5ECD-43FD-B42A-D6F4AFE68D61}"/>
    <hyperlink ref="I9" location="'HU-BASE-006'!A1" display="HU-BASE-006" xr:uid="{604731EE-15A8-4F69-B647-DDFDF48DC017}"/>
    <hyperlink ref="I10" location="'HU-BASE-007'!A1" display="HU-BASE-007" xr:uid="{08D87559-5C3B-4422-A5F4-05868864FBAA}"/>
    <hyperlink ref="I11" location="'HU-BASE-008'!A1" display="HU-BASE-008" xr:uid="{EF96E44E-B48A-4EF8-BA0F-33C27087BCE9}"/>
    <hyperlink ref="I12" location="'HU-BASE-009'!A1" display="HU-BASE-009" xr:uid="{A19F720B-BBD3-470E-BE6C-69564A5C0E7B}"/>
    <hyperlink ref="I13" location="'HU-BASE-010'!A1" display="HU-BASE-010" xr:uid="{70B68094-263C-410F-9BEA-FF395833E9AB}"/>
    <hyperlink ref="I14" location="'HU-BASE-011'!A1" display="HU-BASE-011" xr:uid="{AE412FAA-AD9E-45BC-BE64-BC450CA88EDE}"/>
    <hyperlink ref="I15" location="'HU-BASE-012'!A1" display="HU-BASE-012" xr:uid="{55B06C05-ACC7-4206-B8DA-AABB595DE8C5}"/>
    <hyperlink ref="I16" location="'HU-BASE-013'!A1" display="HU-BASE-013" xr:uid="{B5ECD95C-000D-448F-AAF8-3AE368F134FD}"/>
    <hyperlink ref="I17" location="'HU-BASE-014'!A1" display="HU-BASE-014" xr:uid="{B26993C3-4701-4818-960F-C53B892DEC3E}"/>
    <hyperlink ref="I18" location="'HU-BASE-015'!A1" display="HU-BASE-015" xr:uid="{08958166-D3DB-44BE-835F-69C9BB05BE27}"/>
    <hyperlink ref="I19" location="'HU-BASE-016'!A1" display="HU-BASE-016" xr:uid="{7BA11512-2C9F-4484-B0E5-15C7F71C1307}"/>
    <hyperlink ref="I20" location="'HU-BASE-017'!A1" display="HU-BASE-017" xr:uid="{75C8C2D6-1357-4D6E-AFE7-613A1A12E675}"/>
    <hyperlink ref="I21" location="'HU-BASE-018'!A1" display="HU-BASE-018" xr:uid="{ED7A0BAD-2C20-41B8-AF70-276B5EF436E0}"/>
    <hyperlink ref="I22" location="'HU-BASE-019'!A1" display="HU-BASE-019" xr:uid="{EC5BE58E-EC08-4830-A8CE-220E13B3FF9E}"/>
    <hyperlink ref="I23" location="'HU-BASE-020'!A1" display="HU-BASE-020" xr:uid="{C5D219C9-3861-43F5-BEF0-8D929DAA40F6}"/>
    <hyperlink ref="I24" location="'HU-BASE-021'!A1" display="HU-BASE-021" xr:uid="{79CAFB13-D05D-43E1-8F06-F5E1AC9542D7}"/>
    <hyperlink ref="I25" location="'HU-BASE-022'!A1" display="HU-BASE-022" xr:uid="{93E6BA27-58BE-4F8D-A2E0-175FF2A11627}"/>
    <hyperlink ref="I26" location="'HU-BASE-023'!A1" display="HU-BASE-023" xr:uid="{2A380E54-6202-4769-B962-2CD5BB137787}"/>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23577AF-56DD-4542-BA0C-45164157F3BD}">
          <x14:formula1>
            <xm:f>Valores!$A$2:$A$3</xm:f>
          </x14:formula1>
          <xm:sqref>N4 G4:G27</xm:sqref>
        </x14:dataValidation>
        <x14:dataValidation type="list" allowBlank="1" showInputMessage="1" showErrorMessage="1" xr:uid="{B283C780-BDE7-4A5F-B496-A80E48219C5B}">
          <x14:formula1>
            <xm:f>Valores!$B$2:$B$6</xm:f>
          </x14:formula1>
          <xm:sqref>L4:M27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F415-8BC1-4B5E-879C-92F0075F36C6}">
  <dimension ref="A1:Q22"/>
  <sheetViews>
    <sheetView workbookViewId="0">
      <selection activeCell="G18" sqref="G18"/>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MapeoImpactosComandos!J4</f>
        <v>HU-BASE-001-Registrar información de un nuevo entrenador</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MapeoImpactosComandos!P4</f>
        <v>Administrador del sistema</v>
      </c>
      <c r="C5" s="69"/>
      <c r="D5" s="69"/>
      <c r="E5" s="69"/>
      <c r="F5" s="69"/>
      <c r="G5" s="69"/>
      <c r="H5" s="69"/>
      <c r="I5" s="69"/>
      <c r="J5" s="69"/>
      <c r="K5" s="69"/>
      <c r="L5" s="90"/>
    </row>
    <row r="6" spans="1:17">
      <c r="A6" s="33" t="s">
        <v>21</v>
      </c>
      <c r="B6" s="69" t="str">
        <f>MapeoImpactosComandos!Q4</f>
        <v>Registrar información de un nuevo entrenador</v>
      </c>
      <c r="C6" s="69"/>
      <c r="D6" s="69"/>
      <c r="E6" s="69"/>
      <c r="F6" s="69"/>
      <c r="G6" s="69"/>
      <c r="H6" s="69"/>
      <c r="I6" s="69"/>
      <c r="J6" s="69"/>
      <c r="K6" s="69"/>
      <c r="L6" s="90"/>
    </row>
    <row r="7" spans="1:17" ht="34.5" customHeight="1">
      <c r="A7" s="33" t="s">
        <v>22</v>
      </c>
      <c r="B7" s="69" t="str">
        <f>MapeoImpactosComandos!R4</f>
        <v>Permitir la gestión de los entrenadores e informes generados por la aplicación, para facilitar la supervisión y el seguimiento de los procesos.</v>
      </c>
      <c r="C7" s="69"/>
      <c r="D7" s="69"/>
      <c r="E7" s="69"/>
      <c r="F7" s="69"/>
      <c r="G7" s="69"/>
      <c r="H7" s="69"/>
      <c r="I7" s="69"/>
      <c r="J7" s="69"/>
      <c r="K7" s="69"/>
      <c r="L7" s="90"/>
    </row>
    <row r="8" spans="1:17" ht="34.5" customHeight="1">
      <c r="A8" s="91" t="str">
        <f>MapeoImpactosComandos!K4</f>
        <v>Como Administrador del sistema Necesito Registrar información de un nuevo entrenador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MapeoImpactosComandos!L4</f>
        <v>S</v>
      </c>
      <c r="F10" s="69"/>
      <c r="G10" s="69"/>
      <c r="H10" s="69"/>
      <c r="I10" s="69"/>
      <c r="J10" s="69"/>
      <c r="K10" s="69"/>
      <c r="L10" s="90"/>
    </row>
    <row r="11" spans="1:17" ht="15" customHeight="1">
      <c r="A11" s="91" t="str">
        <f>MapeoImpactosComandos!M3</f>
        <v>Talla(Complejidad)</v>
      </c>
      <c r="B11" s="69"/>
      <c r="C11" s="69"/>
      <c r="D11" s="69"/>
      <c r="E11" s="69" t="str">
        <f>MapeoImpactosComandos!M4</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128.25" customHeight="1">
      <c r="A17" s="34" t="s">
        <v>127</v>
      </c>
      <c r="B17" s="68" t="s">
        <v>128</v>
      </c>
      <c r="C17" s="69"/>
      <c r="D17" s="69"/>
      <c r="E17" s="69"/>
      <c r="F17" s="69"/>
      <c r="G17" s="37" t="s">
        <v>129</v>
      </c>
      <c r="H17" s="38"/>
      <c r="I17" s="70"/>
      <c r="J17" s="70"/>
      <c r="K17" s="70"/>
      <c r="L17" s="71"/>
    </row>
    <row r="18" spans="1:12" ht="89.25" customHeight="1">
      <c r="A18" s="34" t="s">
        <v>130</v>
      </c>
      <c r="B18" s="68" t="s">
        <v>131</v>
      </c>
      <c r="C18" s="69"/>
      <c r="D18" s="69"/>
      <c r="E18" s="69"/>
      <c r="F18" s="69"/>
      <c r="G18" s="37" t="s">
        <v>129</v>
      </c>
      <c r="H18" s="38"/>
      <c r="I18" s="70"/>
      <c r="J18" s="70"/>
      <c r="K18" s="70"/>
      <c r="L18" s="71"/>
    </row>
    <row r="19" spans="1:12" ht="75.75" customHeight="1">
      <c r="A19" s="34" t="s">
        <v>132</v>
      </c>
      <c r="B19" s="68" t="s">
        <v>133</v>
      </c>
      <c r="C19" s="69"/>
      <c r="D19" s="69"/>
      <c r="E19" s="69"/>
      <c r="F19" s="69"/>
      <c r="G19" s="37" t="s">
        <v>129</v>
      </c>
      <c r="H19" s="38"/>
      <c r="I19" s="70"/>
      <c r="J19" s="70"/>
      <c r="K19" s="70"/>
      <c r="L19" s="71"/>
    </row>
    <row r="20" spans="1:12" ht="83.25" customHeight="1">
      <c r="A20" s="34" t="s">
        <v>134</v>
      </c>
      <c r="B20" s="68" t="s">
        <v>135</v>
      </c>
      <c r="C20" s="69"/>
      <c r="D20" s="69"/>
      <c r="E20" s="69"/>
      <c r="F20" s="69"/>
      <c r="G20" s="37" t="s">
        <v>129</v>
      </c>
      <c r="H20" s="38"/>
      <c r="I20" s="70"/>
      <c r="J20" s="70"/>
      <c r="K20" s="70"/>
      <c r="L20" s="71"/>
    </row>
    <row r="21" spans="1:12" ht="86.25" customHeight="1">
      <c r="A21" s="34" t="s">
        <v>136</v>
      </c>
      <c r="B21" s="68" t="s">
        <v>137</v>
      </c>
      <c r="C21" s="69"/>
      <c r="D21" s="69"/>
      <c r="E21" s="69"/>
      <c r="F21" s="69"/>
      <c r="G21" s="43" t="s">
        <v>129</v>
      </c>
      <c r="H21" s="44"/>
      <c r="I21" s="70"/>
      <c r="J21" s="70"/>
      <c r="K21" s="70"/>
      <c r="L21" s="71"/>
    </row>
    <row r="22" spans="1:12" ht="77.25" customHeight="1">
      <c r="A22" s="40" t="s">
        <v>138</v>
      </c>
      <c r="B22" s="72" t="s">
        <v>139</v>
      </c>
      <c r="C22" s="73"/>
      <c r="D22" s="73"/>
      <c r="E22" s="73"/>
      <c r="F22" s="73"/>
      <c r="G22" s="41" t="s">
        <v>129</v>
      </c>
      <c r="H22" s="42"/>
      <c r="I22" s="74"/>
      <c r="J22" s="74"/>
      <c r="K22" s="74"/>
      <c r="L22" s="75"/>
    </row>
  </sheetData>
  <mergeCells count="34">
    <mergeCell ref="B6:L6"/>
    <mergeCell ref="A1:L1"/>
    <mergeCell ref="A2:L2"/>
    <mergeCell ref="A3:L3"/>
    <mergeCell ref="A4:L4"/>
    <mergeCell ref="B5:L5"/>
    <mergeCell ref="A12:D12"/>
    <mergeCell ref="E12:L12"/>
    <mergeCell ref="A13:D13"/>
    <mergeCell ref="E13:L13"/>
    <mergeCell ref="B7:L7"/>
    <mergeCell ref="A8:L8"/>
    <mergeCell ref="A9:L9"/>
    <mergeCell ref="A10:D10"/>
    <mergeCell ref="E10:L10"/>
    <mergeCell ref="A11:D11"/>
    <mergeCell ref="E11:L11"/>
    <mergeCell ref="A14:L14"/>
    <mergeCell ref="A15:A16"/>
    <mergeCell ref="B15:F16"/>
    <mergeCell ref="G15:H15"/>
    <mergeCell ref="I15:L16"/>
    <mergeCell ref="B17:F17"/>
    <mergeCell ref="I17:L17"/>
    <mergeCell ref="B18:F18"/>
    <mergeCell ref="I18:L18"/>
    <mergeCell ref="B19:F19"/>
    <mergeCell ref="I19:L19"/>
    <mergeCell ref="B20:F20"/>
    <mergeCell ref="I20:L20"/>
    <mergeCell ref="B21:F21"/>
    <mergeCell ref="I21:L21"/>
    <mergeCell ref="B22:F22"/>
    <mergeCell ref="I22:L22"/>
  </mergeCells>
  <dataValidations count="1">
    <dataValidation allowBlank="1" showInputMessage="1" showErrorMessage="1" sqref="G17:H22" xr:uid="{77B82E5E-66D7-457B-8F42-CEA1B6BBCB18}"/>
  </dataValidations>
  <hyperlinks>
    <hyperlink ref="A3:L3" location="'MapeoImpactosComandos'!I4" display="='https://uconet.sharepoint.com/sites/Cognicare-Core/Shared Documents/Core/Documentación/1. Artefactos técnicos/1. Artefactos estratégicos/4. Mapa de historias de usuario/[Plantilla Mapa de historias de usuario.xlsx]Product Backlog HUs'!D2" xr:uid="{BC5490A2-2C9D-4D47-A2C5-6054CDB2F827}"/>
    <hyperlink ref="A1" location="'Objetos de Dominio'!A1" display="Volver al inicio" xr:uid="{DA3F6248-5F06-4C61-B08F-5E517173E2D6}"/>
    <hyperlink ref="A1:L1" location="'MapeoImpactosComandos'!A1" display="&lt;-Volver al listado" xr:uid="{21C23948-E266-4EEA-BC73-32FD920A0EC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D2E9D87-30EC-49F1-A3D1-719E8B69287D}">
          <x14:formula1>
            <xm:f>Valores!$A$2:$A$3</xm:f>
          </x14:formula1>
          <xm:sqref>E12:L13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35E0-DE95-4B2C-AC68-A0349123ADAA}">
  <dimension ref="A1:Q18"/>
  <sheetViews>
    <sheetView workbookViewId="0">
      <selection activeCell="R18" sqref="R18"/>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MapeoImpactosComandos!J5</f>
        <v>HU-BASE-002-Comenzar un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MapeoImpactosComandos!P5</f>
        <v>Estudiante</v>
      </c>
      <c r="C5" s="69"/>
      <c r="D5" s="69"/>
      <c r="E5" s="69"/>
      <c r="F5" s="69"/>
      <c r="G5" s="69"/>
      <c r="H5" s="69"/>
      <c r="I5" s="69"/>
      <c r="J5" s="69"/>
      <c r="K5" s="69"/>
      <c r="L5" s="90"/>
    </row>
    <row r="6" spans="1:17">
      <c r="A6" s="33" t="s">
        <v>21</v>
      </c>
      <c r="B6" s="69" t="str">
        <f>MapeoImpactosComandos!Q5</f>
        <v>poder iniciar el proceso de mi entrenamiento cognitivo</v>
      </c>
      <c r="C6" s="69"/>
      <c r="D6" s="69"/>
      <c r="E6" s="69"/>
      <c r="F6" s="69"/>
      <c r="G6" s="69"/>
      <c r="H6" s="69"/>
      <c r="I6" s="69"/>
      <c r="J6" s="69"/>
      <c r="K6" s="69"/>
      <c r="L6" s="90"/>
    </row>
    <row r="7" spans="1:17" ht="25.5" customHeight="1">
      <c r="A7" s="33" t="s">
        <v>22</v>
      </c>
      <c r="B7" s="69" t="str">
        <f>MapeoImpactosComandos!R5</f>
        <v>Realizar los diferentes entrenamientos cognitivos asignados, con el fin de mejorar las habilidades cognitivas en las que se haya identificado una oportunidad de desarrollo en el estudiante. ​</v>
      </c>
      <c r="C7" s="69"/>
      <c r="D7" s="69"/>
      <c r="E7" s="69"/>
      <c r="F7" s="69"/>
      <c r="G7" s="69"/>
      <c r="H7" s="69"/>
      <c r="I7" s="69"/>
      <c r="J7" s="69"/>
      <c r="K7" s="69"/>
      <c r="L7" s="90"/>
    </row>
    <row r="8" spans="1:17" ht="60" customHeight="1">
      <c r="A8" s="91" t="str">
        <f>MapeoImpactosComandos!K5</f>
        <v>Como Estudiante Necesito poder iniciar el proceso de mi entrenamiento cognitivo Para Realizar los diferentes entrenamientos cognitivos asignados, con el fin de mejorar las habilidades cognitivas en las que se haya identificado una oportunidad de desarrollo en el estudiante. ​</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MapeoImpactosComandos!L5</f>
        <v>S</v>
      </c>
      <c r="F10" s="69"/>
      <c r="G10" s="69"/>
      <c r="H10" s="69"/>
      <c r="I10" s="69"/>
      <c r="J10" s="69"/>
      <c r="K10" s="69"/>
      <c r="L10" s="90"/>
    </row>
    <row r="11" spans="1:17" ht="15" customHeight="1">
      <c r="A11" s="91" t="str">
        <f>MapeoImpactosComandos!M3</f>
        <v>Talla(Complejidad)</v>
      </c>
      <c r="B11" s="69"/>
      <c r="C11" s="69"/>
      <c r="D11" s="69"/>
      <c r="E11" s="69" t="str">
        <f>MapeoImpactosComandos!M5</f>
        <v>M</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128.25" customHeight="1">
      <c r="A17" s="46" t="s">
        <v>127</v>
      </c>
      <c r="B17" s="102" t="s">
        <v>140</v>
      </c>
      <c r="C17" s="103"/>
      <c r="D17" s="103"/>
      <c r="E17" s="103"/>
      <c r="F17" s="103"/>
      <c r="G17" s="43" t="s">
        <v>129</v>
      </c>
      <c r="H17" s="44"/>
      <c r="I17" s="104"/>
      <c r="J17" s="104"/>
      <c r="K17" s="104"/>
      <c r="L17" s="105"/>
    </row>
    <row r="18" spans="1:12" ht="89.25" customHeight="1">
      <c r="A18" s="45" t="s">
        <v>130</v>
      </c>
      <c r="B18" s="106" t="s">
        <v>141</v>
      </c>
      <c r="C18" s="107"/>
      <c r="D18" s="107"/>
      <c r="E18" s="107"/>
      <c r="F18" s="107"/>
      <c r="G18" s="41" t="s">
        <v>129</v>
      </c>
      <c r="H18" s="42"/>
      <c r="I18" s="108"/>
      <c r="J18" s="108"/>
      <c r="K18" s="108"/>
      <c r="L18" s="109"/>
    </row>
  </sheetData>
  <mergeCells count="26">
    <mergeCell ref="A11:D11"/>
    <mergeCell ref="E11:L11"/>
    <mergeCell ref="A1:L1"/>
    <mergeCell ref="A2:L2"/>
    <mergeCell ref="A3:L3"/>
    <mergeCell ref="A4:L4"/>
    <mergeCell ref="B5:L5"/>
    <mergeCell ref="B6:L6"/>
    <mergeCell ref="B7:L7"/>
    <mergeCell ref="A8:L8"/>
    <mergeCell ref="A9:L9"/>
    <mergeCell ref="A10:D10"/>
    <mergeCell ref="E10:L10"/>
    <mergeCell ref="B17:F17"/>
    <mergeCell ref="I17:L17"/>
    <mergeCell ref="B18:F18"/>
    <mergeCell ref="I18:L18"/>
    <mergeCell ref="A12:D12"/>
    <mergeCell ref="E12:L12"/>
    <mergeCell ref="A13:D13"/>
    <mergeCell ref="E13:L13"/>
    <mergeCell ref="A14:L14"/>
    <mergeCell ref="A15:A16"/>
    <mergeCell ref="B15:F16"/>
    <mergeCell ref="G15:H15"/>
    <mergeCell ref="I15:L16"/>
  </mergeCells>
  <dataValidations count="1">
    <dataValidation allowBlank="1" showInputMessage="1" showErrorMessage="1" sqref="G17:H18" xr:uid="{512AFFAB-AB6E-4B0A-9ED3-9CE2B1DDDFF3}"/>
  </dataValidations>
  <hyperlinks>
    <hyperlink ref="A3:L3" location="'MapeoImpactosComandos'!I5" display="=MapeoImpactosComandos!J5" xr:uid="{2D3C0480-AECE-47BB-B09E-9A3B440AF2EA}"/>
    <hyperlink ref="A1" location="'Objetos de Dominio'!A1" display="Volver al inicio" xr:uid="{C49796A3-C5CB-47F3-89DE-5FD02C86D831}"/>
    <hyperlink ref="A1:L1" location="'MapeoImpactosComandos'!A1" display="&lt;-Volver al listado" xr:uid="{16962967-27C2-4894-9DD0-FDBAB35D325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55F9B11-E715-4711-B322-D74EF59FD609}">
          <x14:formula1>
            <xm:f>Valores!$A$2:$A$3</xm:f>
          </x14:formula1>
          <xm:sqref>E12:L13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95BB-2253-49FF-8696-DEC0313F1F23}">
  <dimension ref="A1:Q21"/>
  <sheetViews>
    <sheetView workbookViewId="0">
      <selection activeCell="G21" sqref="G21:H21"/>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MapeoImpactosComandos!J6</f>
        <v>HU-BASE-003-Dar acceso a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MapeoImpactosComandos!P6</f>
        <v>Entrenador</v>
      </c>
      <c r="C5" s="69"/>
      <c r="D5" s="69"/>
      <c r="E5" s="69"/>
      <c r="F5" s="69"/>
      <c r="G5" s="69"/>
      <c r="H5" s="69"/>
      <c r="I5" s="69"/>
      <c r="J5" s="69"/>
      <c r="K5" s="69"/>
      <c r="L5" s="90"/>
    </row>
    <row r="6" spans="1:17">
      <c r="A6" s="33" t="s">
        <v>21</v>
      </c>
      <c r="B6" s="69" t="str">
        <f>MapeoImpactosComandos!Q6</f>
        <v>brindar acceso a los estudiantes a los diferentes entrenamientos cognitivos</v>
      </c>
      <c r="C6" s="69"/>
      <c r="D6" s="69"/>
      <c r="E6" s="69"/>
      <c r="F6" s="69"/>
      <c r="G6" s="69"/>
      <c r="H6" s="69"/>
      <c r="I6" s="69"/>
      <c r="J6" s="69"/>
      <c r="K6" s="69"/>
      <c r="L6" s="90"/>
    </row>
    <row r="7" spans="1:17" ht="40.5" customHeight="1">
      <c r="A7" s="33" t="s">
        <v>22</v>
      </c>
      <c r="B7" s="69" t="str">
        <f>MapeoImpactosComandos!R6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9" customHeight="1">
      <c r="A8" s="91" t="str">
        <f>MapeoImpactosComandos!K6</f>
        <v>Como Entrenador Necesito brindar acceso a los estudiantes a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MapeoImpactosComandos!L6</f>
        <v>S</v>
      </c>
      <c r="F10" s="69"/>
      <c r="G10" s="69"/>
      <c r="H10" s="69"/>
      <c r="I10" s="69"/>
      <c r="J10" s="69"/>
      <c r="K10" s="69"/>
      <c r="L10" s="90"/>
    </row>
    <row r="11" spans="1:17" ht="15" customHeight="1">
      <c r="A11" s="91" t="str">
        <f>MapeoImpactosComandos!M3</f>
        <v>Talla(Complejidad)</v>
      </c>
      <c r="B11" s="69"/>
      <c r="C11" s="69"/>
      <c r="D11" s="69"/>
      <c r="E11" s="69" t="str">
        <f>MapeoImpactosComandos!M6</f>
        <v>M</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128.25" customHeight="1">
      <c r="A17" s="34" t="s">
        <v>127</v>
      </c>
      <c r="B17" s="110" t="s">
        <v>142</v>
      </c>
      <c r="C17" s="69"/>
      <c r="D17" s="69"/>
      <c r="E17" s="69"/>
      <c r="F17" s="69"/>
      <c r="G17" s="37" t="s">
        <v>129</v>
      </c>
      <c r="H17" s="38"/>
      <c r="I17" s="70"/>
      <c r="J17" s="70"/>
      <c r="K17" s="70"/>
      <c r="L17" s="71"/>
    </row>
    <row r="18" spans="1:12" ht="75.75" customHeight="1">
      <c r="A18" s="34" t="s">
        <v>130</v>
      </c>
      <c r="B18" s="110" t="s">
        <v>143</v>
      </c>
      <c r="C18" s="69"/>
      <c r="D18" s="69"/>
      <c r="E18" s="69"/>
      <c r="F18" s="69"/>
      <c r="G18" s="37" t="s">
        <v>129</v>
      </c>
      <c r="H18" s="38"/>
      <c r="I18" s="70"/>
      <c r="J18" s="70"/>
      <c r="K18" s="70"/>
      <c r="L18" s="71"/>
    </row>
    <row r="19" spans="1:12" ht="83.25" customHeight="1">
      <c r="A19" s="34" t="s">
        <v>132</v>
      </c>
      <c r="B19" s="110" t="s">
        <v>144</v>
      </c>
      <c r="C19" s="69"/>
      <c r="D19" s="69"/>
      <c r="E19" s="69"/>
      <c r="F19" s="69"/>
      <c r="G19" s="37" t="s">
        <v>129</v>
      </c>
      <c r="H19" s="38"/>
      <c r="I19" s="70"/>
      <c r="J19" s="70"/>
      <c r="K19" s="70"/>
      <c r="L19" s="71"/>
    </row>
    <row r="20" spans="1:12" ht="78" customHeight="1">
      <c r="A20" s="34" t="s">
        <v>134</v>
      </c>
      <c r="B20" s="102" t="s">
        <v>145</v>
      </c>
      <c r="C20" s="111"/>
      <c r="D20" s="111"/>
      <c r="E20" s="111"/>
      <c r="F20" s="111"/>
      <c r="G20" s="43" t="s">
        <v>129</v>
      </c>
      <c r="H20" s="44"/>
      <c r="I20" s="70"/>
      <c r="J20" s="70"/>
      <c r="K20" s="70"/>
      <c r="L20" s="71"/>
    </row>
    <row r="21" spans="1:12" ht="77.25" customHeight="1">
      <c r="A21" s="34" t="s">
        <v>136</v>
      </c>
      <c r="B21" s="106" t="s">
        <v>146</v>
      </c>
      <c r="C21" s="112"/>
      <c r="D21" s="112"/>
      <c r="E21" s="112"/>
      <c r="F21" s="112"/>
      <c r="G21" s="41" t="s">
        <v>129</v>
      </c>
      <c r="H21" s="42"/>
      <c r="I21" s="74"/>
      <c r="J21" s="74"/>
      <c r="K21" s="74"/>
      <c r="L21" s="75"/>
    </row>
  </sheetData>
  <mergeCells count="32">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I19:L19"/>
    <mergeCell ref="I20:L20"/>
    <mergeCell ref="I21:L21"/>
    <mergeCell ref="B17:F17"/>
    <mergeCell ref="I17:L17"/>
    <mergeCell ref="I18:L18"/>
    <mergeCell ref="B18:F18"/>
    <mergeCell ref="B19:F19"/>
    <mergeCell ref="B20:F20"/>
    <mergeCell ref="B21:F21"/>
  </mergeCells>
  <dataValidations count="1">
    <dataValidation allowBlank="1" showInputMessage="1" showErrorMessage="1" sqref="G17:H21" xr:uid="{96127931-90F1-45AE-B499-28F991B36F20}"/>
  </dataValidations>
  <hyperlinks>
    <hyperlink ref="A3:L3" location="'MapeoImpactosComandos'!I6" display="=MapeoImpactosComandos!J6" xr:uid="{7B45EC84-3B51-4889-BD19-829CA04C1AE3}"/>
    <hyperlink ref="A1" location="'Objetos de Dominio'!A1" display="Volver al inicio" xr:uid="{1CA382BB-779E-459E-B003-D10A3448ED5C}"/>
    <hyperlink ref="A1:L1" location="'MapeoImpactosComandos'!A1" display="&lt;-Volver al listado" xr:uid="{A27CA85B-52C5-4358-8113-674B04A298A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A5BE4A-BEDF-4B24-9CF8-C5437DC16F8E}">
          <x14:formula1>
            <xm:f>Valores!$A$2:$A$3</xm:f>
          </x14:formula1>
          <xm:sqref>E12:L13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F077-C7AC-4F9B-98D4-6B8A4E5429B3}">
  <dimension ref="A1:Q19"/>
  <sheetViews>
    <sheetView workbookViewId="0">
      <selection activeCell="L35" sqref="L35"/>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MapeoImpactosComandos!J7</f>
        <v>HU-BASE-004-Generar informes de entrenamientos cognitivos creados asignados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MapeoImpactosComandos!P7</f>
        <v>Entrenador</v>
      </c>
      <c r="C5" s="69"/>
      <c r="D5" s="69"/>
      <c r="E5" s="69"/>
      <c r="F5" s="69"/>
      <c r="G5" s="69"/>
      <c r="H5" s="69"/>
      <c r="I5" s="69"/>
      <c r="J5" s="69"/>
      <c r="K5" s="69"/>
      <c r="L5" s="90"/>
    </row>
    <row r="6" spans="1:17">
      <c r="A6" s="33" t="s">
        <v>21</v>
      </c>
      <c r="B6" s="69" t="str">
        <f>MapeoImpactosComandos!Q7</f>
        <v>poder generar informes de los entrenamientos cognitivos asignados</v>
      </c>
      <c r="C6" s="69"/>
      <c r="D6" s="69"/>
      <c r="E6" s="69"/>
      <c r="F6" s="69"/>
      <c r="G6" s="69"/>
      <c r="H6" s="69"/>
      <c r="I6" s="69"/>
      <c r="J6" s="69"/>
      <c r="K6" s="69"/>
      <c r="L6" s="90"/>
    </row>
    <row r="7" spans="1:17" ht="48" customHeight="1">
      <c r="A7" s="33" t="s">
        <v>22</v>
      </c>
      <c r="B7" s="69" t="str">
        <f>MapeoImpactosComandos!R7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3" customHeight="1">
      <c r="A8" s="91" t="str">
        <f>MapeoImpactosComandos!K7</f>
        <v>Como Entrenador Necesito poder generar informes de los entrenamientos cognitivos asignados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MapeoImpactosComandos!L7</f>
        <v>M</v>
      </c>
      <c r="F10" s="69"/>
      <c r="G10" s="69"/>
      <c r="H10" s="69"/>
      <c r="I10" s="69"/>
      <c r="J10" s="69"/>
      <c r="K10" s="69"/>
      <c r="L10" s="90"/>
    </row>
    <row r="11" spans="1:17" ht="15" customHeight="1">
      <c r="A11" s="91" t="str">
        <f>MapeoImpactosComandos!M3</f>
        <v>Talla(Complejidad)</v>
      </c>
      <c r="B11" s="69"/>
      <c r="C11" s="69"/>
      <c r="D11" s="69"/>
      <c r="E11" s="69" t="str">
        <f>MapeoImpactosComandos!M7</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128.25" customHeight="1">
      <c r="A17" s="34" t="s">
        <v>127</v>
      </c>
      <c r="B17" s="110" t="s">
        <v>147</v>
      </c>
      <c r="C17" s="69"/>
      <c r="D17" s="69"/>
      <c r="E17" s="69"/>
      <c r="F17" s="69"/>
      <c r="G17" s="37" t="s">
        <v>129</v>
      </c>
      <c r="H17" s="38"/>
      <c r="I17" s="70"/>
      <c r="J17" s="70"/>
      <c r="K17" s="70"/>
      <c r="L17" s="71"/>
    </row>
    <row r="18" spans="1:12" ht="89.25" customHeight="1">
      <c r="A18" s="46" t="s">
        <v>130</v>
      </c>
      <c r="B18" s="113" t="s">
        <v>148</v>
      </c>
      <c r="C18" s="114"/>
      <c r="D18" s="114"/>
      <c r="E18" s="114"/>
      <c r="F18" s="115"/>
      <c r="G18" s="43" t="s">
        <v>129</v>
      </c>
      <c r="H18" s="44"/>
      <c r="I18" s="116"/>
      <c r="J18" s="117"/>
      <c r="K18" s="117"/>
      <c r="L18" s="118"/>
    </row>
    <row r="19" spans="1:12" ht="83.25" customHeight="1">
      <c r="A19" s="45" t="s">
        <v>132</v>
      </c>
      <c r="B19" s="106" t="s">
        <v>149</v>
      </c>
      <c r="C19" s="112"/>
      <c r="D19" s="112"/>
      <c r="E19" s="112"/>
      <c r="F19" s="112"/>
      <c r="G19" s="41" t="s">
        <v>129</v>
      </c>
      <c r="H19" s="42"/>
      <c r="I19" s="108"/>
      <c r="J19" s="108"/>
      <c r="K19" s="108"/>
      <c r="L19" s="109"/>
    </row>
  </sheetData>
  <mergeCells count="28">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19:F19"/>
    <mergeCell ref="I19:L19"/>
    <mergeCell ref="B17:F17"/>
    <mergeCell ref="I17:L17"/>
    <mergeCell ref="B18:F18"/>
    <mergeCell ref="I18:L18"/>
  </mergeCells>
  <dataValidations count="1">
    <dataValidation allowBlank="1" showInputMessage="1" showErrorMessage="1" sqref="G17:H19" xr:uid="{5FDE5B3A-BEE7-4E83-A82D-1516E1ED45E5}"/>
  </dataValidations>
  <hyperlinks>
    <hyperlink ref="A3:L3" location="'MapeoImpactosComandos'!I7" display="=MapeoImpactosComandos!J7" xr:uid="{B98E6A07-430E-4646-B97C-8423F5670E42}"/>
    <hyperlink ref="A1" location="'Objetos de Dominio'!A1" display="Volver al inicio" xr:uid="{48AF6ABC-FD05-4032-85A5-54BEC07D02C8}"/>
    <hyperlink ref="A1:L1" location="'MapeoImpactosComandos'!A1" display="&lt;-Volver al listado" xr:uid="{2A066336-D537-4B08-B941-815D4578750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C2AE7D-EA7A-4701-92F3-B5E6D05719C2}">
          <x14:formula1>
            <xm:f>Valores!$A$2:$A$3</xm:f>
          </x14:formula1>
          <xm:sqref>E12:L13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5979-A450-412B-AF60-93294037A6B6}">
  <dimension ref="A1:Q20"/>
  <sheetViews>
    <sheetView workbookViewId="0">
      <selection activeCell="I26" sqref="I26"/>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MapeoImpactosComandos!J8</f>
        <v>HU-BASE-005-Consultar historial de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MapeoImpactosComandos!P8</f>
        <v>Entrenador</v>
      </c>
      <c r="C5" s="69"/>
      <c r="D5" s="69"/>
      <c r="E5" s="69"/>
      <c r="F5" s="69"/>
      <c r="G5" s="69"/>
      <c r="H5" s="69"/>
      <c r="I5" s="69"/>
      <c r="J5" s="69"/>
      <c r="K5" s="69"/>
      <c r="L5" s="90"/>
    </row>
    <row r="6" spans="1:17">
      <c r="A6" s="33" t="s">
        <v>21</v>
      </c>
      <c r="B6" s="69" t="str">
        <f>MapeoImpactosComandos!Q8</f>
        <v>poder consultar el historial de actividad de los diferentes entrenamientos cognitivos</v>
      </c>
      <c r="C6" s="69"/>
      <c r="D6" s="69"/>
      <c r="E6" s="69"/>
      <c r="F6" s="69"/>
      <c r="G6" s="69"/>
      <c r="H6" s="69"/>
      <c r="I6" s="69"/>
      <c r="J6" s="69"/>
      <c r="K6" s="69"/>
      <c r="L6" s="90"/>
    </row>
    <row r="7" spans="1:17" ht="46.5" customHeight="1">
      <c r="A7" s="33" t="s">
        <v>22</v>
      </c>
      <c r="B7" s="69" t="str">
        <f>MapeoImpactosComandos!R8</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70.5" customHeight="1">
      <c r="A8" s="91" t="str">
        <f>MapeoImpactosComandos!K8</f>
        <v>Como Entrenador Necesito poder consultar el historial de actividad de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MapeoImpactosComandos!L8</f>
        <v>XS</v>
      </c>
      <c r="F10" s="69"/>
      <c r="G10" s="69"/>
      <c r="H10" s="69"/>
      <c r="I10" s="69"/>
      <c r="J10" s="69"/>
      <c r="K10" s="69"/>
      <c r="L10" s="90"/>
    </row>
    <row r="11" spans="1:17" ht="15" customHeight="1">
      <c r="A11" s="91" t="str">
        <f>MapeoImpactosComandos!M3</f>
        <v>Talla(Complejidad)</v>
      </c>
      <c r="B11" s="69"/>
      <c r="C11" s="69"/>
      <c r="D11" s="69"/>
      <c r="E11" s="69" t="str">
        <f>MapeoImpactosComandos!M8</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128.25" customHeight="1">
      <c r="A17" s="34" t="s">
        <v>127</v>
      </c>
      <c r="B17" s="110" t="s">
        <v>150</v>
      </c>
      <c r="C17" s="69"/>
      <c r="D17" s="69"/>
      <c r="E17" s="69"/>
      <c r="F17" s="69"/>
      <c r="G17" s="37" t="s">
        <v>129</v>
      </c>
      <c r="H17" s="38"/>
      <c r="I17" s="70"/>
      <c r="J17" s="70"/>
      <c r="K17" s="70"/>
      <c r="L17" s="71"/>
    </row>
    <row r="18" spans="1:12" ht="89.25" customHeight="1">
      <c r="A18" s="34" t="s">
        <v>130</v>
      </c>
      <c r="B18" s="110" t="s">
        <v>151</v>
      </c>
      <c r="C18" s="69"/>
      <c r="D18" s="69"/>
      <c r="E18" s="69"/>
      <c r="F18" s="69"/>
      <c r="G18" s="37" t="s">
        <v>129</v>
      </c>
      <c r="H18" s="38"/>
      <c r="I18" s="70"/>
      <c r="J18" s="70"/>
      <c r="K18" s="70"/>
      <c r="L18" s="71"/>
    </row>
    <row r="19" spans="1:12" ht="75.75" customHeight="1">
      <c r="A19" s="46" t="s">
        <v>132</v>
      </c>
      <c r="B19" s="102" t="s">
        <v>152</v>
      </c>
      <c r="C19" s="111"/>
      <c r="D19" s="111"/>
      <c r="E19" s="111"/>
      <c r="F19" s="111"/>
      <c r="G19" s="43" t="s">
        <v>129</v>
      </c>
      <c r="H19" s="44"/>
      <c r="I19" s="104"/>
      <c r="J19" s="104"/>
      <c r="K19" s="104"/>
      <c r="L19" s="105"/>
    </row>
    <row r="20" spans="1:12" ht="83.25" customHeight="1">
      <c r="A20" s="45" t="s">
        <v>134</v>
      </c>
      <c r="B20" s="107" t="s">
        <v>135</v>
      </c>
      <c r="C20" s="112"/>
      <c r="D20" s="112"/>
      <c r="E20" s="112"/>
      <c r="F20" s="112"/>
      <c r="G20" s="41" t="s">
        <v>129</v>
      </c>
      <c r="H20" s="42"/>
      <c r="I20" s="108"/>
      <c r="J20" s="108"/>
      <c r="K20" s="108"/>
      <c r="L20" s="109"/>
    </row>
  </sheetData>
  <mergeCells count="30">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20:F20"/>
    <mergeCell ref="I20:L20"/>
    <mergeCell ref="B17:F17"/>
    <mergeCell ref="I17:L17"/>
    <mergeCell ref="B18:F18"/>
    <mergeCell ref="I18:L18"/>
    <mergeCell ref="B19:F19"/>
    <mergeCell ref="I19:L19"/>
  </mergeCells>
  <dataValidations count="1">
    <dataValidation allowBlank="1" showInputMessage="1" showErrorMessage="1" sqref="G17:H20" xr:uid="{858E214E-9CB6-4323-9495-8839123C961D}"/>
  </dataValidations>
  <hyperlinks>
    <hyperlink ref="A3:L3" location="'MapeoImpactosComandos'!I8" display="=MapeoImpactosComandos!J8" xr:uid="{521B55E2-C038-419C-9ADE-18B6FDFC772F}"/>
    <hyperlink ref="A1" location="'Objetos de Dominio'!A1" display="Volver al inicio" xr:uid="{5D7F1F7D-A1FF-430F-B794-24F15457975F}"/>
    <hyperlink ref="A1:L1" location="'MapeoImpactosComandos'!A1" display="&lt;-Volver al listado" xr:uid="{CEDF89AA-2340-462F-8C5B-0AAFC9C00AD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384347E-D0F4-42B0-8434-7031AC2E466E}">
          <x14:formula1>
            <xm:f>Valores!$A$2:$A$3</xm:f>
          </x14:formula1>
          <xm:sqref>E12:L13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9195-A3B6-4C95-825D-B6000130143C}">
  <dimension ref="A1:Q21"/>
  <sheetViews>
    <sheetView topLeftCell="A17" workbookViewId="0">
      <selection activeCell="H24" sqref="H24"/>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MapeoImpactosComandos!J9</f>
        <v>HU-BASE-006-Crear un nuevo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MapeoImpactosComandos!P9</f>
        <v>Entrenador</v>
      </c>
      <c r="C5" s="69"/>
      <c r="D5" s="69"/>
      <c r="E5" s="69"/>
      <c r="F5" s="69"/>
      <c r="G5" s="69"/>
      <c r="H5" s="69"/>
      <c r="I5" s="69"/>
      <c r="J5" s="69"/>
      <c r="K5" s="69"/>
      <c r="L5" s="90"/>
    </row>
    <row r="6" spans="1:17">
      <c r="A6" s="33" t="s">
        <v>21</v>
      </c>
      <c r="B6" s="69" t="str">
        <f>MapeoImpactosComandos!Q9</f>
        <v>poder crear un nuevo entrenamiento cognitivo</v>
      </c>
      <c r="C6" s="69"/>
      <c r="D6" s="69"/>
      <c r="E6" s="69"/>
      <c r="F6" s="69"/>
      <c r="G6" s="69"/>
      <c r="H6" s="69"/>
      <c r="I6" s="69"/>
      <c r="J6" s="69"/>
      <c r="K6" s="69"/>
      <c r="L6" s="90"/>
    </row>
    <row r="7" spans="1:17" ht="54.75" customHeight="1">
      <c r="A7" s="33" t="s">
        <v>22</v>
      </c>
      <c r="B7" s="69" t="str">
        <f>MapeoImpactosComandos!R9</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70.5" customHeight="1">
      <c r="A8" s="91" t="str">
        <f>MapeoImpactosComandos!K9</f>
        <v>Como Entrenador Necesito poder crear un nuevo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MapeoImpactosComandos!L9</f>
        <v>S</v>
      </c>
      <c r="F10" s="69"/>
      <c r="G10" s="69"/>
      <c r="H10" s="69"/>
      <c r="I10" s="69"/>
      <c r="J10" s="69"/>
      <c r="K10" s="69"/>
      <c r="L10" s="90"/>
    </row>
    <row r="11" spans="1:17" ht="15" customHeight="1">
      <c r="A11" s="91" t="str">
        <f>MapeoImpactosComandos!M3</f>
        <v>Talla(Complejidad)</v>
      </c>
      <c r="B11" s="69"/>
      <c r="C11" s="69"/>
      <c r="D11" s="69"/>
      <c r="E11" s="69" t="str">
        <f>MapeoImpactosComandos!M9</f>
        <v>M</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153</v>
      </c>
      <c r="C17" s="68"/>
      <c r="D17" s="68"/>
      <c r="E17" s="68"/>
      <c r="F17" s="68"/>
      <c r="G17" s="37" t="s">
        <v>129</v>
      </c>
      <c r="H17" s="38"/>
      <c r="I17" s="70"/>
      <c r="J17" s="70"/>
      <c r="K17" s="70"/>
      <c r="L17" s="71"/>
    </row>
    <row r="18" spans="1:12" ht="89.25" customHeight="1">
      <c r="A18" s="34" t="s">
        <v>130</v>
      </c>
      <c r="B18" s="110" t="s">
        <v>154</v>
      </c>
      <c r="C18" s="68"/>
      <c r="D18" s="68"/>
      <c r="E18" s="68"/>
      <c r="F18" s="68"/>
      <c r="G18" s="37" t="s">
        <v>129</v>
      </c>
      <c r="H18" s="38"/>
      <c r="I18" s="70"/>
      <c r="J18" s="70"/>
      <c r="K18" s="70"/>
      <c r="L18" s="71"/>
    </row>
    <row r="19" spans="1:12" ht="75.75" customHeight="1">
      <c r="A19" s="34" t="s">
        <v>132</v>
      </c>
      <c r="B19" s="110" t="s">
        <v>155</v>
      </c>
      <c r="C19" s="68"/>
      <c r="D19" s="68"/>
      <c r="E19" s="68"/>
      <c r="F19" s="68"/>
      <c r="G19" s="37" t="s">
        <v>129</v>
      </c>
      <c r="H19" s="38"/>
      <c r="I19" s="70"/>
      <c r="J19" s="70"/>
      <c r="K19" s="70"/>
      <c r="L19" s="71"/>
    </row>
    <row r="20" spans="1:12" ht="83.25" customHeight="1">
      <c r="A20" s="46" t="s">
        <v>134</v>
      </c>
      <c r="B20" s="102" t="s">
        <v>156</v>
      </c>
      <c r="C20" s="103"/>
      <c r="D20" s="103"/>
      <c r="E20" s="103"/>
      <c r="F20" s="103"/>
      <c r="G20" s="43" t="s">
        <v>129</v>
      </c>
      <c r="H20" s="44"/>
      <c r="I20" s="104"/>
      <c r="J20" s="104"/>
      <c r="K20" s="104"/>
      <c r="L20" s="105"/>
    </row>
    <row r="21" spans="1:12" ht="57" customHeight="1">
      <c r="A21" s="45" t="s">
        <v>136</v>
      </c>
      <c r="B21" s="106" t="s">
        <v>157</v>
      </c>
      <c r="C21" s="107"/>
      <c r="D21" s="107"/>
      <c r="E21" s="107"/>
      <c r="F21" s="107"/>
      <c r="G21" s="41" t="s">
        <v>129</v>
      </c>
      <c r="H21" s="42"/>
      <c r="I21" s="108"/>
      <c r="J21" s="108"/>
      <c r="K21" s="108"/>
      <c r="L21" s="109"/>
    </row>
  </sheetData>
  <mergeCells count="32">
    <mergeCell ref="B20:F20"/>
    <mergeCell ref="I20:L20"/>
    <mergeCell ref="B21:F21"/>
    <mergeCell ref="I21:L21"/>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1" xr:uid="{FE21D02F-8E06-413A-989C-E74E0FB9E9E8}"/>
  </dataValidations>
  <hyperlinks>
    <hyperlink ref="A3:L3" location="'MapeoImpactosComandos'!I9" display="=MapeoImpactosComandos!J9" xr:uid="{A8036066-DEB6-4343-8B36-DFC156F9805F}"/>
    <hyperlink ref="A1" location="'Objetos de Dominio'!A1" display="Volver al inicio" xr:uid="{3E86C0CB-F7E7-49F7-99BF-4C6DE8227A75}"/>
    <hyperlink ref="A1:L1" location="'MapeoImpactosComandos'!A1" display="&lt;-Volver al listado" xr:uid="{A1059909-4E62-4AAC-8A63-9DF708593A1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31B656-FEEB-41A9-A34C-14D3A7F2F77E}">
          <x14:formula1>
            <xm:f>Valores!$A$2:$A$3</xm:f>
          </x14:formula1>
          <xm:sqref>E12:L13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E793D-7E23-447E-9C92-5DB31F29906A}">
  <dimension ref="A1:Q21"/>
  <sheetViews>
    <sheetView topLeftCell="A15" workbookViewId="0">
      <selection activeCell="B21" sqref="B17:F21"/>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MapeoImpactosComandos!J10</f>
        <v>HU-BASE-007-Modificar un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MapeoImpactosComandos!P10</f>
        <v>Entrenador</v>
      </c>
      <c r="C5" s="69"/>
      <c r="D5" s="69"/>
      <c r="E5" s="69"/>
      <c r="F5" s="69"/>
      <c r="G5" s="69"/>
      <c r="H5" s="69"/>
      <c r="I5" s="69"/>
      <c r="J5" s="69"/>
      <c r="K5" s="69"/>
      <c r="L5" s="90"/>
    </row>
    <row r="6" spans="1:17">
      <c r="A6" s="33" t="s">
        <v>21</v>
      </c>
      <c r="B6" s="69" t="str">
        <f>MapeoImpactosComandos!Q10</f>
        <v>poder editar un entrenamiento cognitivo</v>
      </c>
      <c r="C6" s="69"/>
      <c r="D6" s="69"/>
      <c r="E6" s="69"/>
      <c r="F6" s="69"/>
      <c r="G6" s="69"/>
      <c r="H6" s="69"/>
      <c r="I6" s="69"/>
      <c r="J6" s="69"/>
      <c r="K6" s="69"/>
      <c r="L6" s="90"/>
    </row>
    <row r="7" spans="1:17">
      <c r="A7" s="33" t="s">
        <v>22</v>
      </c>
      <c r="B7" s="69" t="str">
        <f>MapeoImpactosComandos!R10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70.5" customHeight="1">
      <c r="A8" s="91" t="str">
        <f>MapeoImpactosComandos!K10</f>
        <v>Como Entrenador Necesito poder editar un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MapeoImpactosComandos!L10</f>
        <v>S</v>
      </c>
      <c r="F10" s="69"/>
      <c r="G10" s="69"/>
      <c r="H10" s="69"/>
      <c r="I10" s="69"/>
      <c r="J10" s="69"/>
      <c r="K10" s="69"/>
      <c r="L10" s="90"/>
    </row>
    <row r="11" spans="1:17" ht="15" customHeight="1">
      <c r="A11" s="91" t="str">
        <f>MapeoImpactosComandos!M3</f>
        <v>Talla(Complejidad)</v>
      </c>
      <c r="B11" s="69"/>
      <c r="C11" s="69"/>
      <c r="D11" s="69"/>
      <c r="E11" s="69" t="str">
        <f>MapeoImpactosComandos!M10</f>
        <v>M</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158</v>
      </c>
      <c r="C17" s="68"/>
      <c r="D17" s="68"/>
      <c r="E17" s="68"/>
      <c r="F17" s="68"/>
      <c r="G17" s="37" t="s">
        <v>129</v>
      </c>
      <c r="H17" s="38"/>
      <c r="I17" s="70"/>
      <c r="J17" s="70"/>
      <c r="K17" s="70"/>
      <c r="L17" s="71"/>
    </row>
    <row r="18" spans="1:12" ht="89.25" customHeight="1">
      <c r="A18" s="34" t="s">
        <v>130</v>
      </c>
      <c r="B18" s="110" t="s">
        <v>159</v>
      </c>
      <c r="C18" s="68"/>
      <c r="D18" s="68"/>
      <c r="E18" s="68"/>
      <c r="F18" s="68"/>
      <c r="G18" s="37" t="s">
        <v>129</v>
      </c>
      <c r="H18" s="38"/>
      <c r="I18" s="70"/>
      <c r="J18" s="70"/>
      <c r="K18" s="70"/>
      <c r="L18" s="71"/>
    </row>
    <row r="19" spans="1:12" ht="75.75" customHeight="1">
      <c r="A19" s="34" t="s">
        <v>132</v>
      </c>
      <c r="B19" s="110" t="s">
        <v>160</v>
      </c>
      <c r="C19" s="68"/>
      <c r="D19" s="68"/>
      <c r="E19" s="68"/>
      <c r="F19" s="68"/>
      <c r="G19" s="37" t="s">
        <v>129</v>
      </c>
      <c r="H19" s="38"/>
      <c r="I19" s="70"/>
      <c r="J19" s="70"/>
      <c r="K19" s="70"/>
      <c r="L19" s="71"/>
    </row>
    <row r="20" spans="1:12" ht="83.25" customHeight="1">
      <c r="A20" s="46" t="s">
        <v>134</v>
      </c>
      <c r="B20" s="102" t="s">
        <v>161</v>
      </c>
      <c r="C20" s="103"/>
      <c r="D20" s="103"/>
      <c r="E20" s="103"/>
      <c r="F20" s="103"/>
      <c r="G20" s="43" t="s">
        <v>129</v>
      </c>
      <c r="H20" s="44"/>
      <c r="I20" s="104"/>
      <c r="J20" s="104"/>
      <c r="K20" s="104"/>
      <c r="L20" s="105"/>
    </row>
    <row r="21" spans="1:12" ht="74.25" customHeight="1">
      <c r="A21" s="45" t="s">
        <v>136</v>
      </c>
      <c r="B21" s="106" t="s">
        <v>162</v>
      </c>
      <c r="C21" s="107"/>
      <c r="D21" s="107"/>
      <c r="E21" s="107"/>
      <c r="F21" s="107"/>
      <c r="G21" s="41" t="s">
        <v>129</v>
      </c>
      <c r="H21" s="42"/>
      <c r="I21" s="108"/>
      <c r="J21" s="108"/>
      <c r="K21" s="108"/>
      <c r="L21" s="109"/>
    </row>
  </sheetData>
  <mergeCells count="32">
    <mergeCell ref="B20:F20"/>
    <mergeCell ref="I20:L20"/>
    <mergeCell ref="B21:F21"/>
    <mergeCell ref="I21:L21"/>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1" xr:uid="{704950CC-B0CC-4FD2-8A95-071EE24E2BEB}"/>
  </dataValidations>
  <hyperlinks>
    <hyperlink ref="A3:L3" location="'MapeoImpactosComandos'!I10" display="=MapeoImpactosComandos!J10" xr:uid="{A22EE57F-4843-4F69-AA7C-99071E149A8A}"/>
    <hyperlink ref="A1" location="'Objetos de Dominio'!A1" display="Volver al inicio" xr:uid="{81F633C4-C6FA-4282-A58A-4F86D3C97CDD}"/>
    <hyperlink ref="A1:L1" location="'MapeoImpactosComandos'!A1" display="&lt;-Volver al listado" xr:uid="{097BAF2E-B7F4-467D-B01A-C94F552B71C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F32CFDD-7FBD-4F7A-9623-48A9746BB7FA}">
          <x14:formula1>
            <xm:f>Valores!$A$2:$A$3</xm:f>
          </x14:formula1>
          <xm:sqref>E12:L13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BE35F-48CA-4BFD-95AC-315FA6D58F74}">
  <dimension ref="A1:Q20"/>
  <sheetViews>
    <sheetView topLeftCell="A9" workbookViewId="0">
      <selection activeCell="B18" sqref="B18:F20"/>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MapeoImpactosComandos!J11</f>
        <v>HU-BASE-008-Iniciar sesion de entrenamiento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MapeoImpactosComandos!P11</f>
        <v>Entrenador</v>
      </c>
      <c r="C5" s="69"/>
      <c r="D5" s="69"/>
      <c r="E5" s="69"/>
      <c r="F5" s="69"/>
      <c r="G5" s="69"/>
      <c r="H5" s="69"/>
      <c r="I5" s="69"/>
      <c r="J5" s="69"/>
      <c r="K5" s="69"/>
      <c r="L5" s="90"/>
    </row>
    <row r="6" spans="1:17">
      <c r="A6" s="33" t="s">
        <v>21</v>
      </c>
      <c r="B6" s="69" t="str">
        <f>MapeoImpactosComandos!Q11</f>
        <v>poder iniciar una nueva sesión de entrenamiento inmediatamente</v>
      </c>
      <c r="C6" s="69"/>
      <c r="D6" s="69"/>
      <c r="E6" s="69"/>
      <c r="F6" s="69"/>
      <c r="G6" s="69"/>
      <c r="H6" s="69"/>
      <c r="I6" s="69"/>
      <c r="J6" s="69"/>
      <c r="K6" s="69"/>
      <c r="L6" s="90"/>
    </row>
    <row r="7" spans="1:17" ht="52.5" customHeight="1">
      <c r="A7" s="33" t="s">
        <v>22</v>
      </c>
      <c r="B7" s="69" t="str">
        <f>MapeoImpactosComandos!R11</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70.5" customHeight="1">
      <c r="A8" s="91" t="str">
        <f>MapeoImpactosComandos!K11</f>
        <v>Como Entrenador Necesito poder iniciar una nueva sesión de entrenamiento inmediatamente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42" customHeight="1">
      <c r="A9" s="119" t="s">
        <v>163</v>
      </c>
      <c r="B9" s="86"/>
      <c r="C9" s="86"/>
      <c r="D9" s="86"/>
      <c r="E9" s="86"/>
      <c r="F9" s="86"/>
      <c r="G9" s="86"/>
      <c r="H9" s="86"/>
      <c r="I9" s="86"/>
      <c r="J9" s="86"/>
      <c r="K9" s="86"/>
      <c r="L9" s="89"/>
    </row>
    <row r="10" spans="1:17" ht="21">
      <c r="A10" s="92" t="s">
        <v>117</v>
      </c>
      <c r="B10" s="93"/>
      <c r="C10" s="93"/>
      <c r="D10" s="93"/>
      <c r="E10" s="93"/>
      <c r="F10" s="93"/>
      <c r="G10" s="93"/>
      <c r="H10" s="93"/>
      <c r="I10" s="93"/>
      <c r="J10" s="93"/>
      <c r="K10" s="93"/>
      <c r="L10" s="94"/>
    </row>
    <row r="11" spans="1:17">
      <c r="A11" s="91" t="str">
        <f>MapeoImpactosComandos!L3</f>
        <v>Talla(Tamaño)</v>
      </c>
      <c r="B11" s="69"/>
      <c r="C11" s="69"/>
      <c r="D11" s="69"/>
      <c r="E11" s="69" t="str">
        <f>MapeoImpactosComandos!L11</f>
        <v>S</v>
      </c>
      <c r="F11" s="69"/>
      <c r="G11" s="69"/>
      <c r="H11" s="69"/>
      <c r="I11" s="69"/>
      <c r="J11" s="69"/>
      <c r="K11" s="69"/>
      <c r="L11" s="90"/>
    </row>
    <row r="12" spans="1:17" ht="15" customHeight="1">
      <c r="A12" s="91" t="str">
        <f>MapeoImpactosComandos!M3</f>
        <v>Talla(Complejidad)</v>
      </c>
      <c r="B12" s="69"/>
      <c r="C12" s="69"/>
      <c r="D12" s="69"/>
      <c r="E12" s="69" t="str">
        <f>MapeoImpactosComandos!M11</f>
        <v>S</v>
      </c>
      <c r="F12" s="69"/>
      <c r="G12" s="69"/>
      <c r="H12" s="69"/>
      <c r="I12" s="69"/>
      <c r="J12" s="69"/>
      <c r="K12" s="69"/>
      <c r="L12" s="90"/>
    </row>
    <row r="13" spans="1:17" ht="15" customHeight="1">
      <c r="A13" s="85" t="s">
        <v>118</v>
      </c>
      <c r="B13" s="86"/>
      <c r="C13" s="86"/>
      <c r="D13" s="87"/>
      <c r="E13" s="88" t="s">
        <v>29</v>
      </c>
      <c r="F13" s="86"/>
      <c r="G13" s="86"/>
      <c r="H13" s="86"/>
      <c r="I13" s="86"/>
      <c r="J13" s="86"/>
      <c r="K13" s="86"/>
      <c r="L13" s="89"/>
    </row>
    <row r="14" spans="1:17" ht="15" customHeight="1">
      <c r="A14" s="85" t="s">
        <v>119</v>
      </c>
      <c r="B14" s="86"/>
      <c r="C14" s="86"/>
      <c r="D14" s="87"/>
      <c r="E14" s="88" t="s">
        <v>29</v>
      </c>
      <c r="F14" s="86"/>
      <c r="G14" s="86"/>
      <c r="H14" s="86"/>
      <c r="I14" s="86"/>
      <c r="J14" s="86"/>
      <c r="K14" s="86"/>
      <c r="L14" s="89"/>
    </row>
    <row r="15" spans="1:17" ht="21">
      <c r="A15" s="76" t="s">
        <v>120</v>
      </c>
      <c r="B15" s="77"/>
      <c r="C15" s="77"/>
      <c r="D15" s="77"/>
      <c r="E15" s="77"/>
      <c r="F15" s="77"/>
      <c r="G15" s="77"/>
      <c r="H15" s="77"/>
      <c r="I15" s="77"/>
      <c r="J15" s="77"/>
      <c r="K15" s="77"/>
      <c r="L15" s="78"/>
    </row>
    <row r="16" spans="1:17">
      <c r="A16" s="79" t="s">
        <v>121</v>
      </c>
      <c r="B16" s="81" t="s">
        <v>122</v>
      </c>
      <c r="C16" s="81"/>
      <c r="D16" s="81"/>
      <c r="E16" s="81"/>
      <c r="F16" s="81"/>
      <c r="G16" s="81" t="s">
        <v>123</v>
      </c>
      <c r="H16" s="81"/>
      <c r="I16" s="81" t="s">
        <v>124</v>
      </c>
      <c r="J16" s="81"/>
      <c r="K16" s="81"/>
      <c r="L16" s="83"/>
    </row>
    <row r="17" spans="1:12">
      <c r="A17" s="80"/>
      <c r="B17" s="82"/>
      <c r="C17" s="82"/>
      <c r="D17" s="82"/>
      <c r="E17" s="82"/>
      <c r="F17" s="82"/>
      <c r="G17" s="35" t="s">
        <v>125</v>
      </c>
      <c r="H17" s="36" t="s">
        <v>126</v>
      </c>
      <c r="I17" s="82"/>
      <c r="J17" s="82"/>
      <c r="K17" s="82"/>
      <c r="L17" s="84"/>
    </row>
    <row r="18" spans="1:12" ht="90.75" customHeight="1">
      <c r="A18" s="34" t="s">
        <v>127</v>
      </c>
      <c r="B18" s="110" t="s">
        <v>164</v>
      </c>
      <c r="C18" s="68"/>
      <c r="D18" s="68"/>
      <c r="E18" s="68"/>
      <c r="F18" s="68"/>
      <c r="G18" s="37" t="s">
        <v>129</v>
      </c>
      <c r="H18" s="38"/>
      <c r="I18" s="70"/>
      <c r="J18" s="70"/>
      <c r="K18" s="70"/>
      <c r="L18" s="71"/>
    </row>
    <row r="19" spans="1:12" ht="89.25" customHeight="1">
      <c r="A19" s="46" t="s">
        <v>130</v>
      </c>
      <c r="B19" s="102" t="s">
        <v>165</v>
      </c>
      <c r="C19" s="103"/>
      <c r="D19" s="103"/>
      <c r="E19" s="103"/>
      <c r="F19" s="103"/>
      <c r="G19" s="43" t="s">
        <v>129</v>
      </c>
      <c r="H19" s="44"/>
      <c r="I19" s="104"/>
      <c r="J19" s="104"/>
      <c r="K19" s="104"/>
      <c r="L19" s="105"/>
    </row>
    <row r="20" spans="1:12" ht="75.75" customHeight="1">
      <c r="A20" s="45" t="s">
        <v>132</v>
      </c>
      <c r="B20" s="106" t="s">
        <v>166</v>
      </c>
      <c r="C20" s="107"/>
      <c r="D20" s="107"/>
      <c r="E20" s="107"/>
      <c r="F20" s="107"/>
      <c r="G20" s="41" t="s">
        <v>129</v>
      </c>
      <c r="H20" s="42"/>
      <c r="I20" s="108"/>
      <c r="J20" s="108"/>
      <c r="K20" s="108"/>
      <c r="L20" s="109"/>
    </row>
  </sheetData>
  <mergeCells count="29">
    <mergeCell ref="B6:L6"/>
    <mergeCell ref="A1:L1"/>
    <mergeCell ref="A2:L2"/>
    <mergeCell ref="A3:L3"/>
    <mergeCell ref="A4:L4"/>
    <mergeCell ref="B5:L5"/>
    <mergeCell ref="I19:L19"/>
    <mergeCell ref="B7:L7"/>
    <mergeCell ref="A8:L8"/>
    <mergeCell ref="A10:L10"/>
    <mergeCell ref="A11:D11"/>
    <mergeCell ref="E11:L11"/>
    <mergeCell ref="A9:L9"/>
    <mergeCell ref="A12:D12"/>
    <mergeCell ref="E12:L12"/>
    <mergeCell ref="B20:F20"/>
    <mergeCell ref="I20:L20"/>
    <mergeCell ref="A13:D13"/>
    <mergeCell ref="E13:L13"/>
    <mergeCell ref="A14:D14"/>
    <mergeCell ref="E14:L14"/>
    <mergeCell ref="A15:L15"/>
    <mergeCell ref="A16:A17"/>
    <mergeCell ref="B16:F17"/>
    <mergeCell ref="G16:H16"/>
    <mergeCell ref="I16:L17"/>
    <mergeCell ref="B18:F18"/>
    <mergeCell ref="I18:L18"/>
    <mergeCell ref="B19:F19"/>
  </mergeCells>
  <dataValidations count="1">
    <dataValidation allowBlank="1" showInputMessage="1" showErrorMessage="1" sqref="G18:H20" xr:uid="{D2EABE28-B296-4DFB-A21D-3297C0A147EF}"/>
  </dataValidations>
  <hyperlinks>
    <hyperlink ref="A3:L3" location="'MapeoImpactosComandos'!I11" display="=MapeoImpactosComandos!J11" xr:uid="{97757C90-2885-44AF-8BF9-AADC155A6320}"/>
    <hyperlink ref="A1" location="'Objetos de Dominio'!A1" display="Volver al inicio" xr:uid="{C061F1F5-77F6-4C48-981C-6FBA84775AA4}"/>
    <hyperlink ref="A1:L1" location="'MapeoImpactosComandos'!A1" display="&lt;-Volver al listado" xr:uid="{49F0E875-2D99-43BA-AE37-FE89B5A786A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4EB28E-0DA2-48C2-B960-4E27DC228A88}">
          <x14:formula1>
            <xm:f>Valores!$A$2:$A$3</xm:f>
          </x14:formula1>
          <xm:sqref>E13:L14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F7829-2143-4A39-98CA-9FC354F10EFF}">
  <dimension ref="A1:Q19"/>
  <sheetViews>
    <sheetView workbookViewId="0">
      <selection activeCell="E12" sqref="E12:L12"/>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MapeoImpactosComandos!J12</f>
        <v>HU-BASE-009-Ingresar a una variable cognitiva a la que tenga acceso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MapeoImpactosComandos!P12</f>
        <v>Estudiante</v>
      </c>
      <c r="C5" s="69"/>
      <c r="D5" s="69"/>
      <c r="E5" s="69"/>
      <c r="F5" s="69"/>
      <c r="G5" s="69"/>
      <c r="H5" s="69"/>
      <c r="I5" s="69"/>
      <c r="J5" s="69"/>
      <c r="K5" s="69"/>
      <c r="L5" s="90"/>
    </row>
    <row r="6" spans="1:17">
      <c r="A6" s="33" t="s">
        <v>21</v>
      </c>
      <c r="B6" s="69" t="str">
        <f>MapeoImpactosComandos!Q12</f>
        <v>poder ingresar a una variable cognitiva a la que tenga acceso</v>
      </c>
      <c r="C6" s="69"/>
      <c r="D6" s="69"/>
      <c r="E6" s="69"/>
      <c r="F6" s="69"/>
      <c r="G6" s="69"/>
      <c r="H6" s="69"/>
      <c r="I6" s="69"/>
      <c r="J6" s="69"/>
      <c r="K6" s="69"/>
      <c r="L6" s="90"/>
    </row>
    <row r="7" spans="1:17" ht="52.5" customHeight="1">
      <c r="A7" s="33" t="s">
        <v>22</v>
      </c>
      <c r="B7" s="69" t="str">
        <f>MapeoImpactosComandos!R12</f>
        <v>Realizar los diferentes entrenamientos cognitivos asignados, con el fin de mejorar las habilidades cognitivas en las que se haya identificado una oportunidad de desarrollo en el estudiante. ​</v>
      </c>
      <c r="C7" s="69"/>
      <c r="D7" s="69"/>
      <c r="E7" s="69"/>
      <c r="F7" s="69"/>
      <c r="G7" s="69"/>
      <c r="H7" s="69"/>
      <c r="I7" s="69"/>
      <c r="J7" s="69"/>
      <c r="K7" s="69"/>
      <c r="L7" s="90"/>
    </row>
    <row r="8" spans="1:17" ht="54.75" customHeight="1">
      <c r="A8" s="91" t="str">
        <f>MapeoImpactosComandos!K12</f>
        <v>Como Estudiante Necesito poder ingresar a una variable cognitiva a la que tenga acceso Para Realizar los diferentes entrenamientos cognitivos asignados, con el fin de mejorar las habilidades cognitivas en las que se haya identificado una oportunidad de desarrollo en el estudiante. ​</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MapeoImpactosComandos!L12</f>
        <v>S</v>
      </c>
      <c r="F10" s="69"/>
      <c r="G10" s="69"/>
      <c r="H10" s="69"/>
      <c r="I10" s="69"/>
      <c r="J10" s="69"/>
      <c r="K10" s="69"/>
      <c r="L10" s="90"/>
    </row>
    <row r="11" spans="1:17" ht="15" customHeight="1">
      <c r="A11" s="91" t="str">
        <f>MapeoImpactosComandos!M3</f>
        <v>Talla(Complejidad)</v>
      </c>
      <c r="B11" s="69"/>
      <c r="C11" s="69"/>
      <c r="D11" s="69"/>
      <c r="E11" s="69" t="str">
        <f>MapeoImpactosComandos!M12</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24" t="s">
        <v>167</v>
      </c>
      <c r="C17" s="125"/>
      <c r="D17" s="125"/>
      <c r="E17" s="125"/>
      <c r="F17" s="125"/>
      <c r="G17" s="37" t="s">
        <v>129</v>
      </c>
      <c r="H17" s="38"/>
      <c r="I17" s="70"/>
      <c r="J17" s="70"/>
      <c r="K17" s="70"/>
      <c r="L17" s="71"/>
    </row>
    <row r="18" spans="1:12" ht="89.25" customHeight="1">
      <c r="A18" s="46" t="s">
        <v>130</v>
      </c>
      <c r="B18" s="120" t="s">
        <v>168</v>
      </c>
      <c r="C18" s="121"/>
      <c r="D18" s="121"/>
      <c r="E18" s="121"/>
      <c r="F18" s="121"/>
      <c r="G18" s="43" t="s">
        <v>129</v>
      </c>
      <c r="H18" s="44"/>
      <c r="I18" s="104"/>
      <c r="J18" s="104"/>
      <c r="K18" s="104"/>
      <c r="L18" s="105"/>
    </row>
    <row r="19" spans="1:12" ht="75.75" customHeight="1">
      <c r="A19" s="45" t="s">
        <v>132</v>
      </c>
      <c r="B19" s="122" t="s">
        <v>169</v>
      </c>
      <c r="C19" s="123"/>
      <c r="D19" s="123"/>
      <c r="E19" s="123"/>
      <c r="F19" s="123"/>
      <c r="G19" s="41" t="s">
        <v>129</v>
      </c>
      <c r="H19" s="42"/>
      <c r="I19" s="108"/>
      <c r="J19" s="108"/>
      <c r="K19" s="108"/>
      <c r="L19" s="109"/>
    </row>
  </sheetData>
  <mergeCells count="28">
    <mergeCell ref="B6:L6"/>
    <mergeCell ref="A1:L1"/>
    <mergeCell ref="A2:L2"/>
    <mergeCell ref="A3:L3"/>
    <mergeCell ref="A4:L4"/>
    <mergeCell ref="B5:L5"/>
    <mergeCell ref="B7:L7"/>
    <mergeCell ref="A8:L8"/>
    <mergeCell ref="A9:L9"/>
    <mergeCell ref="A10:D10"/>
    <mergeCell ref="E10:L10"/>
    <mergeCell ref="A11:D11"/>
    <mergeCell ref="E11:L11"/>
    <mergeCell ref="A12:D12"/>
    <mergeCell ref="E12:L12"/>
    <mergeCell ref="A13:D13"/>
    <mergeCell ref="E13:L13"/>
    <mergeCell ref="B18:F18"/>
    <mergeCell ref="I18:L18"/>
    <mergeCell ref="B19:F19"/>
    <mergeCell ref="I19:L19"/>
    <mergeCell ref="A14:L14"/>
    <mergeCell ref="A15:A16"/>
    <mergeCell ref="B15:F16"/>
    <mergeCell ref="G15:H15"/>
    <mergeCell ref="I15:L16"/>
    <mergeCell ref="B17:F17"/>
    <mergeCell ref="I17:L17"/>
  </mergeCells>
  <dataValidations count="1">
    <dataValidation allowBlank="1" showInputMessage="1" showErrorMessage="1" sqref="G17:H19" xr:uid="{16D6FF63-B315-4D9E-9320-34596A74B62C}"/>
  </dataValidations>
  <hyperlinks>
    <hyperlink ref="A3:L3" location="'MapeoImpactosComandos'!I12" display="=MapeoImpactosComandos!J12" xr:uid="{278290DF-1B47-4016-B10E-AF4730BAF5FF}"/>
    <hyperlink ref="A1" location="'Objetos de Dominio'!A1" display="Volver al inicio" xr:uid="{2804FB6A-67A2-412E-B5AF-B99D5FEC2F40}"/>
    <hyperlink ref="A1:L1" location="'MapeoImpactosComandos'!A1" display="&lt;-Volver al listado" xr:uid="{D4E2F4C9-8B15-4FCB-8E34-0B69EBF73C5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76FBADB-7EBB-4B16-AE9E-EDA5989AE041}">
          <x14:formula1>
            <xm:f>Valores!$A$2:$A$3</xm:f>
          </x14:formula1>
          <xm:sqref>E12:L13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A316-D842-477D-ACB9-AAA151FD105A}">
  <dimension ref="A1:Q19"/>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MapeoImpactosComandos!J13</f>
        <v>HU-BASE-010-Abandonar variable cognitiva</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MapeoImpactosComandos!P13</f>
        <v>Estudiante</v>
      </c>
      <c r="C5" s="69"/>
      <c r="D5" s="69"/>
      <c r="E5" s="69"/>
      <c r="F5" s="69"/>
      <c r="G5" s="69"/>
      <c r="H5" s="69"/>
      <c r="I5" s="69"/>
      <c r="J5" s="69"/>
      <c r="K5" s="69"/>
      <c r="L5" s="90"/>
    </row>
    <row r="6" spans="1:17">
      <c r="A6" s="33" t="s">
        <v>21</v>
      </c>
      <c r="B6" s="69" t="str">
        <f>MapeoImpactosComandos!Q13</f>
        <v>poder abandonar el entrenamiento cognitivo que esté desarrollando</v>
      </c>
      <c r="C6" s="69"/>
      <c r="D6" s="69"/>
      <c r="E6" s="69"/>
      <c r="F6" s="69"/>
      <c r="G6" s="69"/>
      <c r="H6" s="69"/>
      <c r="I6" s="69"/>
      <c r="J6" s="69"/>
      <c r="K6" s="69"/>
      <c r="L6" s="90"/>
    </row>
    <row r="7" spans="1:17" ht="52.5" customHeight="1">
      <c r="A7" s="33" t="s">
        <v>22</v>
      </c>
      <c r="B7" s="69" t="str">
        <f>MapeoImpactosComandos!R13</f>
        <v>Realizar los diferentes entrenamientos cognitivos asignados, con el fin de mejorar las habilidades cognitivas en las que se haya identificado una oportunidad de desarrollo en el estudiante. ​</v>
      </c>
      <c r="C7" s="69"/>
      <c r="D7" s="69"/>
      <c r="E7" s="69"/>
      <c r="F7" s="69"/>
      <c r="G7" s="69"/>
      <c r="H7" s="69"/>
      <c r="I7" s="69"/>
      <c r="J7" s="69"/>
      <c r="K7" s="69"/>
      <c r="L7" s="90"/>
    </row>
    <row r="8" spans="1:17" ht="54.75" customHeight="1">
      <c r="A8" s="91" t="str">
        <f>MapeoImpactosComandos!K13</f>
        <v>Como Estudiante Necesito poder abandonar el entrenamiento cognitivo que esté desarrollando Para Realizar los diferentes entrenamientos cognitivos asignados, con el fin de mejorar las habilidades cognitivas en las que se haya identificado una oportunidad de desarrollo en el estudiante. ​</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MapeoImpactosComandos!L13</f>
        <v>XS</v>
      </c>
      <c r="F10" s="69"/>
      <c r="G10" s="69"/>
      <c r="H10" s="69"/>
      <c r="I10" s="69"/>
      <c r="J10" s="69"/>
      <c r="K10" s="69"/>
      <c r="L10" s="90"/>
    </row>
    <row r="11" spans="1:17" ht="15" customHeight="1">
      <c r="A11" s="91" t="str">
        <f>MapeoImpactosComandos!M3</f>
        <v>Talla(Complejidad)</v>
      </c>
      <c r="B11" s="69"/>
      <c r="C11" s="69"/>
      <c r="D11" s="69"/>
      <c r="E11" s="69" t="str">
        <f>MapeoImpactosComandos!M13</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170</v>
      </c>
      <c r="C17" s="68"/>
      <c r="D17" s="68"/>
      <c r="E17" s="68"/>
      <c r="F17" s="68"/>
      <c r="G17" s="37" t="s">
        <v>129</v>
      </c>
      <c r="H17" s="38"/>
      <c r="I17" s="70"/>
      <c r="J17" s="70"/>
      <c r="K17" s="70"/>
      <c r="L17" s="71"/>
    </row>
    <row r="18" spans="1:12" ht="89.25" customHeight="1">
      <c r="A18" s="46" t="s">
        <v>130</v>
      </c>
      <c r="B18" s="102" t="s">
        <v>171</v>
      </c>
      <c r="C18" s="103"/>
      <c r="D18" s="103"/>
      <c r="E18" s="103"/>
      <c r="F18" s="103"/>
      <c r="G18" s="43" t="s">
        <v>129</v>
      </c>
      <c r="H18" s="44"/>
      <c r="I18" s="104"/>
      <c r="J18" s="104"/>
      <c r="K18" s="104"/>
      <c r="L18" s="105"/>
    </row>
    <row r="19" spans="1:12" ht="75.75" customHeight="1">
      <c r="A19" s="45" t="s">
        <v>132</v>
      </c>
      <c r="B19" s="106" t="s">
        <v>172</v>
      </c>
      <c r="C19" s="107"/>
      <c r="D19" s="107"/>
      <c r="E19" s="107"/>
      <c r="F19" s="107"/>
      <c r="G19" s="41" t="s">
        <v>129</v>
      </c>
      <c r="H19" s="42"/>
      <c r="I19" s="108"/>
      <c r="J19" s="108"/>
      <c r="K19" s="108"/>
      <c r="L19" s="109"/>
    </row>
  </sheetData>
  <mergeCells count="28">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17:F17"/>
    <mergeCell ref="I17:L17"/>
    <mergeCell ref="B18:F18"/>
    <mergeCell ref="I18:L18"/>
    <mergeCell ref="B19:F19"/>
    <mergeCell ref="I19:L19"/>
  </mergeCells>
  <dataValidations count="1">
    <dataValidation allowBlank="1" showInputMessage="1" showErrorMessage="1" sqref="G17:H19" xr:uid="{1F310CC4-15C2-4AF8-96AB-BFE934712145}"/>
  </dataValidations>
  <hyperlinks>
    <hyperlink ref="A3:L3" location="'MapeoImpactosComandos'!I13" display="=MapeoImpactosComandos!J13" xr:uid="{FD73A195-94E5-4D7E-97A4-7B20A4F15C25}"/>
    <hyperlink ref="A1" location="'Objetos de Dominio'!A1" display="Volver al inicio" xr:uid="{F0E21B1B-43B5-4440-802B-54FD9144D144}"/>
    <hyperlink ref="A1:L1" location="'MapeoImpactosComandos'!A1" display="&lt;-Volver al listado" xr:uid="{B57BF491-500C-497C-AD59-58D01EDE5F9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B66DBB8-D2ED-4BDD-81C6-D3D80E35AE73}">
          <x14:formula1>
            <xm:f>Valores!$A$2:$A$3</xm:f>
          </x14:formula1>
          <xm:sqref>E12:L13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3254-DB64-40E2-A605-CC41C4D415D4}">
  <dimension ref="A1:Q20"/>
  <sheetViews>
    <sheetView workbookViewId="0"/>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MapeoImpactosComandos!J14</f>
        <v>HU-BASE-011-Registrar un nuevo estudiante</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MapeoImpactosComandos!P14</f>
        <v>Entrenador</v>
      </c>
      <c r="C5" s="69"/>
      <c r="D5" s="69"/>
      <c r="E5" s="69"/>
      <c r="F5" s="69"/>
      <c r="G5" s="69"/>
      <c r="H5" s="69"/>
      <c r="I5" s="69"/>
      <c r="J5" s="69"/>
      <c r="K5" s="69"/>
      <c r="L5" s="90"/>
    </row>
    <row r="6" spans="1:17">
      <c r="A6" s="33" t="s">
        <v>21</v>
      </c>
      <c r="B6" s="69" t="str">
        <f>MapeoImpactosComandos!Q14</f>
        <v>poder registrar a un nuevo estudiante remitido por pedagogos</v>
      </c>
      <c r="C6" s="69"/>
      <c r="D6" s="69"/>
      <c r="E6" s="69"/>
      <c r="F6" s="69"/>
      <c r="G6" s="69"/>
      <c r="H6" s="69"/>
      <c r="I6" s="69"/>
      <c r="J6" s="69"/>
      <c r="K6" s="69"/>
      <c r="L6" s="90"/>
    </row>
    <row r="7" spans="1:17" ht="52.5" customHeight="1">
      <c r="A7" s="33" t="s">
        <v>22</v>
      </c>
      <c r="B7" s="69" t="str">
        <f>MapeoImpactosComandos!R14</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MapeoImpactosComandos!K14</f>
        <v>Como Entrenador Necesito poder registrar a un nuevo estudiante remitido por pedagogos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MapeoImpactosComandos!L14</f>
        <v>S</v>
      </c>
      <c r="F10" s="69"/>
      <c r="G10" s="69"/>
      <c r="H10" s="69"/>
      <c r="I10" s="69"/>
      <c r="J10" s="69"/>
      <c r="K10" s="69"/>
      <c r="L10" s="90"/>
    </row>
    <row r="11" spans="1:17" ht="15" customHeight="1">
      <c r="A11" s="91" t="str">
        <f>MapeoImpactosComandos!M3</f>
        <v>Talla(Complejidad)</v>
      </c>
      <c r="B11" s="69"/>
      <c r="C11" s="69"/>
      <c r="D11" s="69"/>
      <c r="E11" s="69" t="str">
        <f>MapeoImpactosComandos!M14</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173</v>
      </c>
      <c r="C17" s="68"/>
      <c r="D17" s="68"/>
      <c r="E17" s="68"/>
      <c r="F17" s="68"/>
      <c r="G17" s="37" t="s">
        <v>129</v>
      </c>
      <c r="H17" s="38"/>
      <c r="I17" s="70"/>
      <c r="J17" s="70"/>
      <c r="K17" s="70"/>
      <c r="L17" s="71"/>
    </row>
    <row r="18" spans="1:12" ht="89.25" customHeight="1">
      <c r="A18" s="46" t="s">
        <v>130</v>
      </c>
      <c r="B18" s="102" t="s">
        <v>174</v>
      </c>
      <c r="C18" s="103"/>
      <c r="D18" s="103"/>
      <c r="E18" s="103"/>
      <c r="F18" s="103"/>
      <c r="G18" s="43" t="s">
        <v>129</v>
      </c>
      <c r="H18" s="44"/>
      <c r="I18" s="104"/>
      <c r="J18" s="104"/>
      <c r="K18" s="104"/>
      <c r="L18" s="105"/>
    </row>
    <row r="19" spans="1:12" ht="75.75" customHeight="1">
      <c r="A19" s="45" t="s">
        <v>132</v>
      </c>
      <c r="B19" s="106" t="s">
        <v>175</v>
      </c>
      <c r="C19" s="107"/>
      <c r="D19" s="107"/>
      <c r="E19" s="107"/>
      <c r="F19" s="107"/>
      <c r="G19" s="41" t="s">
        <v>129</v>
      </c>
      <c r="H19" s="42"/>
      <c r="I19" s="108"/>
      <c r="J19" s="108"/>
      <c r="K19" s="108"/>
      <c r="L19" s="109"/>
    </row>
    <row r="20" spans="1:12" ht="83.25" customHeight="1">
      <c r="A20" s="45" t="s">
        <v>134</v>
      </c>
      <c r="B20" s="106" t="s">
        <v>176</v>
      </c>
      <c r="C20" s="107"/>
      <c r="D20" s="107"/>
      <c r="E20" s="107"/>
      <c r="F20" s="107"/>
      <c r="G20" s="41" t="s">
        <v>129</v>
      </c>
      <c r="H20" s="42"/>
      <c r="I20" s="108"/>
      <c r="J20" s="108"/>
      <c r="K20" s="108"/>
      <c r="L20" s="109"/>
    </row>
  </sheetData>
  <mergeCells count="30">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20:F20"/>
    <mergeCell ref="I20:L20"/>
    <mergeCell ref="B17:F17"/>
    <mergeCell ref="I17:L17"/>
    <mergeCell ref="B18:F18"/>
    <mergeCell ref="I18:L18"/>
    <mergeCell ref="B19:F19"/>
    <mergeCell ref="I19:L19"/>
  </mergeCells>
  <dataValidations count="1">
    <dataValidation allowBlank="1" showInputMessage="1" showErrorMessage="1" sqref="G17:H20" xr:uid="{2D87F165-9CE9-4610-9A3C-5BBB3BAC9758}"/>
  </dataValidations>
  <hyperlinks>
    <hyperlink ref="A3:L3" location="'MapeoImpactosComandos'!I14" display="=MapeoImpactosComandos!J14" xr:uid="{CE4BA886-4984-4AC7-BAAC-17EEC330C713}"/>
    <hyperlink ref="A1" location="'Objetos de Dominio'!A1" display="Volver al inicio" xr:uid="{C00506A5-E09C-47B0-AAE0-229679223066}"/>
    <hyperlink ref="A1:L1" location="'MapeoImpactosComandos'!A1" display="&lt;-Volver al listado" xr:uid="{CC8AA885-0F00-4C36-96B6-D81F13FD60B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935144E-DF51-409A-BDF5-4D42E68CD230}">
          <x14:formula1>
            <xm:f>Valores!$A$2:$A$3</xm:f>
          </x14:formula1>
          <xm:sqref>E12:L13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E6D4-D669-463E-B754-C5C3D4F455F2}">
  <dimension ref="A1:Q19"/>
  <sheetViews>
    <sheetView topLeftCell="A9" workbookViewId="0">
      <selection activeCell="H25" sqref="H25"/>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MapeoImpactosComandos!J15</f>
        <v>HU-BASE-012-Aprobar abandono de variable cognitiva del estudiante</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MapeoImpactosComandos!P15</f>
        <v>Entrenador</v>
      </c>
      <c r="C5" s="69"/>
      <c r="D5" s="69"/>
      <c r="E5" s="69"/>
      <c r="F5" s="69"/>
      <c r="G5" s="69"/>
      <c r="H5" s="69"/>
      <c r="I5" s="69"/>
      <c r="J5" s="69"/>
      <c r="K5" s="69"/>
      <c r="L5" s="90"/>
    </row>
    <row r="6" spans="1:17">
      <c r="A6" s="33" t="s">
        <v>21</v>
      </c>
      <c r="B6" s="69" t="str">
        <f>MapeoImpactosComandos!Q15</f>
        <v>poder aprobar el abandono de un estudiante</v>
      </c>
      <c r="C6" s="69"/>
      <c r="D6" s="69"/>
      <c r="E6" s="69"/>
      <c r="F6" s="69"/>
      <c r="G6" s="69"/>
      <c r="H6" s="69"/>
      <c r="I6" s="69"/>
      <c r="J6" s="69"/>
      <c r="K6" s="69"/>
      <c r="L6" s="90"/>
    </row>
    <row r="7" spans="1:17" ht="52.5" customHeight="1">
      <c r="A7" s="33" t="s">
        <v>22</v>
      </c>
      <c r="B7" s="69" t="str">
        <f>MapeoImpactosComandos!R15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MapeoImpactosComandos!K15</f>
        <v>Como Entrenador Necesito poder aprobar el abandono de un estudiante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MapeoImpactosComandos!L15</f>
        <v>XS</v>
      </c>
      <c r="F10" s="69"/>
      <c r="G10" s="69"/>
      <c r="H10" s="69"/>
      <c r="I10" s="69"/>
      <c r="J10" s="69"/>
      <c r="K10" s="69"/>
      <c r="L10" s="90"/>
    </row>
    <row r="11" spans="1:17" ht="15" customHeight="1">
      <c r="A11" s="91" t="str">
        <f>MapeoImpactosComandos!M3</f>
        <v>Talla(Complejidad)</v>
      </c>
      <c r="B11" s="69"/>
      <c r="C11" s="69"/>
      <c r="D11" s="69"/>
      <c r="E11" s="69" t="str">
        <f>MapeoImpactosComandos!M15</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177</v>
      </c>
      <c r="C17" s="68"/>
      <c r="D17" s="68"/>
      <c r="E17" s="68"/>
      <c r="F17" s="68"/>
      <c r="G17" s="37" t="s">
        <v>129</v>
      </c>
      <c r="H17" s="38"/>
      <c r="I17" s="70"/>
      <c r="J17" s="70"/>
      <c r="K17" s="70"/>
      <c r="L17" s="71"/>
    </row>
    <row r="18" spans="1:12" ht="89.25" customHeight="1">
      <c r="A18" s="46" t="s">
        <v>130</v>
      </c>
      <c r="B18" s="102" t="s">
        <v>178</v>
      </c>
      <c r="C18" s="103"/>
      <c r="D18" s="103"/>
      <c r="E18" s="103"/>
      <c r="F18" s="103"/>
      <c r="G18" s="43" t="s">
        <v>129</v>
      </c>
      <c r="H18" s="44"/>
      <c r="I18" s="104"/>
      <c r="J18" s="104"/>
      <c r="K18" s="104"/>
      <c r="L18" s="105"/>
    </row>
    <row r="19" spans="1:12" ht="75.75" customHeight="1">
      <c r="A19" s="45" t="s">
        <v>132</v>
      </c>
      <c r="B19" s="106" t="s">
        <v>179</v>
      </c>
      <c r="C19" s="107"/>
      <c r="D19" s="107"/>
      <c r="E19" s="107"/>
      <c r="F19" s="107"/>
      <c r="G19" s="41" t="s">
        <v>129</v>
      </c>
      <c r="H19" s="42"/>
      <c r="I19" s="108"/>
      <c r="J19" s="108"/>
      <c r="K19" s="108"/>
      <c r="L19" s="109"/>
    </row>
  </sheetData>
  <mergeCells count="28">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17:F17"/>
    <mergeCell ref="I17:L17"/>
    <mergeCell ref="B18:F18"/>
    <mergeCell ref="I18:L18"/>
    <mergeCell ref="B19:F19"/>
    <mergeCell ref="I19:L19"/>
  </mergeCells>
  <dataValidations count="1">
    <dataValidation allowBlank="1" showInputMessage="1" showErrorMessage="1" sqref="G17:H19" xr:uid="{44D326A3-8E83-410B-ACAC-8C510328B15B}"/>
  </dataValidations>
  <hyperlinks>
    <hyperlink ref="A3:L3" location="'MapeoImpactosComandos'!I15" display="=MapeoImpactosComandos!J15" xr:uid="{F91E6B0B-BFBB-4BDA-A493-633FA03B0124}"/>
    <hyperlink ref="A1" location="'Objetos de Dominio'!A1" display="Volver al inicio" xr:uid="{4A431AA3-C45E-4DA2-83CE-E78F3F922084}"/>
    <hyperlink ref="A1:L1" location="'MapeoImpactosComandos'!A1" display="&lt;-Volver al listado" xr:uid="{0D8A33D2-6F2D-47D0-A7E7-A5D107B0DB2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AED274D-ED41-4C3C-8368-48784F04C474}">
          <x14:formula1>
            <xm:f>Valores!$A$2:$A$3</xm:f>
          </x14:formula1>
          <xm:sqref>E12:L13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9D75-2800-4082-81BE-5F0472875B98}">
  <dimension ref="A1:Q20"/>
  <sheetViews>
    <sheetView workbookViewId="0">
      <selection activeCell="E12" sqref="E12:L12"/>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MapeoImpactosComandos!J16</f>
        <v>HU-BASE-013-Generar informes de entrenamientos cognitivos creados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MapeoImpactosComandos!P16</f>
        <v>Administrador del sistema</v>
      </c>
      <c r="C5" s="69"/>
      <c r="D5" s="69"/>
      <c r="E5" s="69"/>
      <c r="F5" s="69"/>
      <c r="G5" s="69"/>
      <c r="H5" s="69"/>
      <c r="I5" s="69"/>
      <c r="J5" s="69"/>
      <c r="K5" s="69"/>
      <c r="L5" s="90"/>
    </row>
    <row r="6" spans="1:17">
      <c r="A6" s="33" t="s">
        <v>21</v>
      </c>
      <c r="B6" s="69" t="str">
        <f>MapeoImpactosComandos!Q16</f>
        <v>poder generar informes de los entrenamientos cognitivos</v>
      </c>
      <c r="C6" s="69"/>
      <c r="D6" s="69"/>
      <c r="E6" s="69"/>
      <c r="F6" s="69"/>
      <c r="G6" s="69"/>
      <c r="H6" s="69"/>
      <c r="I6" s="69"/>
      <c r="J6" s="69"/>
      <c r="K6" s="69"/>
      <c r="L6" s="90"/>
    </row>
    <row r="7" spans="1:17" ht="52.5" customHeight="1">
      <c r="A7" s="33" t="s">
        <v>22</v>
      </c>
      <c r="B7" s="69" t="str">
        <f>MapeoImpactosComandos!R16</f>
        <v>Permitir la gestión de los entrenadores e informes generados por la aplicación, para facilitar la supervisión y el seguimiento de los procesos.</v>
      </c>
      <c r="C7" s="69"/>
      <c r="D7" s="69"/>
      <c r="E7" s="69"/>
      <c r="F7" s="69"/>
      <c r="G7" s="69"/>
      <c r="H7" s="69"/>
      <c r="I7" s="69"/>
      <c r="J7" s="69"/>
      <c r="K7" s="69"/>
      <c r="L7" s="90"/>
    </row>
    <row r="8" spans="1:17" ht="60" customHeight="1">
      <c r="A8" s="91" t="str">
        <f>MapeoImpactosComandos!K16</f>
        <v>Como Administrador del sistema Necesito poder generar informes de los entrenamientos cognitivos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MapeoImpactosComandos!L16</f>
        <v>M</v>
      </c>
      <c r="F10" s="69"/>
      <c r="G10" s="69"/>
      <c r="H10" s="69"/>
      <c r="I10" s="69"/>
      <c r="J10" s="69"/>
      <c r="K10" s="69"/>
      <c r="L10" s="90"/>
    </row>
    <row r="11" spans="1:17" ht="15" customHeight="1">
      <c r="A11" s="91" t="str">
        <f>MapeoImpactosComandos!M3</f>
        <v>Talla(Complejidad)</v>
      </c>
      <c r="B11" s="69"/>
      <c r="C11" s="69"/>
      <c r="D11" s="69"/>
      <c r="E11" s="69" t="str">
        <f>MapeoImpactosComandos!M16</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79" t="s">
        <v>121</v>
      </c>
      <c r="B15" s="81" t="s">
        <v>122</v>
      </c>
      <c r="C15" s="81"/>
      <c r="D15" s="81"/>
      <c r="E15" s="81"/>
      <c r="F15" s="81"/>
      <c r="G15" s="81" t="s">
        <v>123</v>
      </c>
      <c r="H15" s="81"/>
      <c r="I15" s="81" t="s">
        <v>124</v>
      </c>
      <c r="J15" s="81"/>
      <c r="K15" s="81"/>
      <c r="L15" s="83"/>
    </row>
    <row r="16" spans="1:17">
      <c r="A16" s="80"/>
      <c r="B16" s="82"/>
      <c r="C16" s="82"/>
      <c r="D16" s="82"/>
      <c r="E16" s="82"/>
      <c r="F16" s="82"/>
      <c r="G16" s="35" t="s">
        <v>125</v>
      </c>
      <c r="H16" s="36" t="s">
        <v>126</v>
      </c>
      <c r="I16" s="82"/>
      <c r="J16" s="82"/>
      <c r="K16" s="82"/>
      <c r="L16" s="84"/>
    </row>
    <row r="17" spans="1:12" ht="90.75" customHeight="1">
      <c r="A17" s="34" t="s">
        <v>127</v>
      </c>
      <c r="B17" s="110" t="s">
        <v>180</v>
      </c>
      <c r="C17" s="68"/>
      <c r="D17" s="68"/>
      <c r="E17" s="68"/>
      <c r="F17" s="68"/>
      <c r="G17" s="37" t="s">
        <v>129</v>
      </c>
      <c r="H17" s="38"/>
      <c r="I17" s="70"/>
      <c r="J17" s="70"/>
      <c r="K17" s="70"/>
      <c r="L17" s="71"/>
    </row>
    <row r="18" spans="1:12" ht="89.25" customHeight="1">
      <c r="A18" s="46" t="s">
        <v>130</v>
      </c>
      <c r="B18" s="102" t="s">
        <v>181</v>
      </c>
      <c r="C18" s="103"/>
      <c r="D18" s="103"/>
      <c r="E18" s="103"/>
      <c r="F18" s="103"/>
      <c r="G18" s="43" t="s">
        <v>129</v>
      </c>
      <c r="H18" s="44"/>
      <c r="I18" s="104"/>
      <c r="J18" s="104"/>
      <c r="K18" s="104"/>
      <c r="L18" s="105"/>
    </row>
    <row r="19" spans="1:12" ht="75.75" customHeight="1">
      <c r="A19" s="45" t="s">
        <v>132</v>
      </c>
      <c r="B19" s="106" t="s">
        <v>182</v>
      </c>
      <c r="C19" s="107"/>
      <c r="D19" s="107"/>
      <c r="E19" s="107"/>
      <c r="F19" s="107"/>
      <c r="G19" s="41" t="s">
        <v>129</v>
      </c>
      <c r="H19" s="42"/>
      <c r="I19" s="108"/>
      <c r="J19" s="108"/>
      <c r="K19" s="108"/>
      <c r="L19" s="109"/>
    </row>
    <row r="20" spans="1:12" ht="55.5" customHeight="1">
      <c r="A20" s="45" t="s">
        <v>134</v>
      </c>
      <c r="B20" s="106" t="s">
        <v>183</v>
      </c>
      <c r="C20" s="107"/>
      <c r="D20" s="107"/>
      <c r="E20" s="107"/>
      <c r="F20" s="107"/>
      <c r="G20" s="41" t="s">
        <v>129</v>
      </c>
      <c r="H20" s="42"/>
      <c r="I20" s="108"/>
      <c r="J20" s="108"/>
      <c r="K20" s="108"/>
      <c r="L20" s="109"/>
    </row>
  </sheetData>
  <mergeCells count="30">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20:F20"/>
    <mergeCell ref="I20:L20"/>
    <mergeCell ref="B17:F17"/>
    <mergeCell ref="I17:L17"/>
    <mergeCell ref="B18:F18"/>
    <mergeCell ref="I18:L18"/>
    <mergeCell ref="B19:F19"/>
    <mergeCell ref="I19:L19"/>
  </mergeCells>
  <dataValidations count="1">
    <dataValidation allowBlank="1" showInputMessage="1" showErrorMessage="1" sqref="G17:H20" xr:uid="{72E038AD-F76B-4CD9-9D9F-4CBC36ECF63F}"/>
  </dataValidations>
  <hyperlinks>
    <hyperlink ref="A3:L3" location="'MapeoImpactosComandos'!I16" display="=MapeoImpactosComandos!J16" xr:uid="{75ADA3FF-BEC8-406E-A92D-3DAC83EE31BE}"/>
    <hyperlink ref="A1" location="'Objetos de Dominio'!A1" display="Volver al inicio" xr:uid="{DFCAC627-409F-4A86-8651-CBAA4DE4DC93}"/>
    <hyperlink ref="A1:L1" location="'MapeoImpactosComandos'!A1" display="&lt;-Volver al listado" xr:uid="{B8EEE1AE-7909-4FC9-B995-4F3AF7CBD9E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463033E-CFA1-4FC3-A85E-A1C13ED39F39}">
          <x14:formula1>
            <xm:f>Valores!$A$2:$A$3</xm:f>
          </x14:formula1>
          <xm:sqref>E12:L13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273C-6ED2-41F4-9C6E-19CB51FFE75D}">
  <dimension ref="A1:Q21"/>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MapeoImpactosComandos!J17</f>
        <v>HU-BASE-014-Crear observación de sesión de entrenamiento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MapeoImpactosComandos!P17</f>
        <v>Entrenador</v>
      </c>
      <c r="C5" s="69"/>
      <c r="D5" s="69"/>
      <c r="E5" s="69"/>
      <c r="F5" s="69"/>
      <c r="G5" s="69"/>
      <c r="H5" s="69"/>
      <c r="I5" s="69"/>
      <c r="J5" s="69"/>
      <c r="K5" s="69"/>
      <c r="L5" s="90"/>
    </row>
    <row r="6" spans="1:17">
      <c r="A6" s="33" t="s">
        <v>21</v>
      </c>
      <c r="B6" s="69" t="str">
        <f>MapeoImpactosComandos!Q17</f>
        <v>poder generar comentarios sobre la sesión de un estudiante en su entrenamiento cognitivo</v>
      </c>
      <c r="C6" s="69"/>
      <c r="D6" s="69"/>
      <c r="E6" s="69"/>
      <c r="F6" s="69"/>
      <c r="G6" s="69"/>
      <c r="H6" s="69"/>
      <c r="I6" s="69"/>
      <c r="J6" s="69"/>
      <c r="K6" s="69"/>
      <c r="L6" s="90"/>
    </row>
    <row r="7" spans="1:17" ht="52.5" customHeight="1">
      <c r="A7" s="33" t="s">
        <v>22</v>
      </c>
      <c r="B7" s="69" t="str">
        <f>MapeoImpactosComandos!R17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MapeoImpactosComandos!K17</f>
        <v>Como Entrenador Necesito poder generar comentarios sobre la sesión de un estudiante en su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MapeoImpactosComandos!L17</f>
        <v>S</v>
      </c>
      <c r="F10" s="69"/>
      <c r="G10" s="69"/>
      <c r="H10" s="69"/>
      <c r="I10" s="69"/>
      <c r="J10" s="69"/>
      <c r="K10" s="69"/>
      <c r="L10" s="90"/>
    </row>
    <row r="11" spans="1:17" ht="15" customHeight="1">
      <c r="A11" s="91" t="str">
        <f>MapeoImpactosComandos!M3</f>
        <v>Talla(Complejidad)</v>
      </c>
      <c r="B11" s="69"/>
      <c r="C11" s="69"/>
      <c r="D11" s="69"/>
      <c r="E11" s="69" t="str">
        <f>MapeoImpactosComandos!M17</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2"/>
      <c r="B16" s="132"/>
      <c r="C16" s="132"/>
      <c r="D16" s="132"/>
      <c r="E16" s="132"/>
      <c r="F16" s="132"/>
      <c r="G16" s="48" t="s">
        <v>125</v>
      </c>
      <c r="H16" s="49" t="s">
        <v>126</v>
      </c>
      <c r="I16" s="132"/>
      <c r="J16" s="132"/>
      <c r="K16" s="132"/>
      <c r="L16" s="132"/>
    </row>
    <row r="17" spans="1:12" ht="90.75" customHeight="1">
      <c r="A17" s="50" t="s">
        <v>127</v>
      </c>
      <c r="B17" s="126" t="s">
        <v>184</v>
      </c>
      <c r="C17" s="127"/>
      <c r="D17" s="127"/>
      <c r="E17" s="127"/>
      <c r="F17" s="127"/>
      <c r="G17" s="51" t="s">
        <v>129</v>
      </c>
      <c r="H17" s="52"/>
      <c r="I17" s="128"/>
      <c r="J17" s="128"/>
      <c r="K17" s="128"/>
      <c r="L17" s="128"/>
    </row>
    <row r="18" spans="1:12" ht="89.25" customHeight="1">
      <c r="A18" s="50" t="s">
        <v>130</v>
      </c>
      <c r="B18" s="126" t="s">
        <v>185</v>
      </c>
      <c r="C18" s="127"/>
      <c r="D18" s="127"/>
      <c r="E18" s="127"/>
      <c r="F18" s="127"/>
      <c r="G18" s="51" t="s">
        <v>129</v>
      </c>
      <c r="H18" s="52"/>
      <c r="I18" s="128"/>
      <c r="J18" s="128"/>
      <c r="K18" s="128"/>
      <c r="L18" s="128"/>
    </row>
    <row r="19" spans="1:12" ht="75.75" customHeight="1">
      <c r="A19" s="50" t="s">
        <v>132</v>
      </c>
      <c r="B19" s="126" t="s">
        <v>186</v>
      </c>
      <c r="C19" s="127"/>
      <c r="D19" s="127"/>
      <c r="E19" s="127"/>
      <c r="F19" s="127"/>
      <c r="G19" s="51" t="s">
        <v>129</v>
      </c>
      <c r="H19" s="52"/>
      <c r="I19" s="128"/>
      <c r="J19" s="128"/>
      <c r="K19" s="128"/>
      <c r="L19" s="128"/>
    </row>
    <row r="20" spans="1:12" ht="78" customHeight="1">
      <c r="A20" s="50" t="s">
        <v>134</v>
      </c>
      <c r="B20" s="126" t="s">
        <v>187</v>
      </c>
      <c r="C20" s="127"/>
      <c r="D20" s="127"/>
      <c r="E20" s="127"/>
      <c r="F20" s="127"/>
      <c r="G20" s="51" t="s">
        <v>129</v>
      </c>
      <c r="H20" s="52"/>
      <c r="I20" s="128"/>
      <c r="J20" s="128"/>
      <c r="K20" s="128"/>
      <c r="L20" s="128"/>
    </row>
    <row r="21" spans="1:12" ht="58.5" customHeight="1">
      <c r="A21" s="53" t="s">
        <v>136</v>
      </c>
      <c r="B21" s="129" t="s">
        <v>188</v>
      </c>
      <c r="C21" s="130"/>
      <c r="D21" s="130"/>
      <c r="E21" s="130"/>
      <c r="F21" s="130"/>
      <c r="G21" s="54" t="s">
        <v>129</v>
      </c>
      <c r="H21" s="55"/>
      <c r="I21" s="131"/>
      <c r="J21" s="131"/>
      <c r="K21" s="131"/>
      <c r="L21" s="131"/>
    </row>
  </sheetData>
  <mergeCells count="32">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20:F20"/>
    <mergeCell ref="I20:L20"/>
    <mergeCell ref="B21:F21"/>
    <mergeCell ref="I21:L21"/>
    <mergeCell ref="B17:F17"/>
    <mergeCell ref="I17:L17"/>
    <mergeCell ref="B18:F18"/>
    <mergeCell ref="I18:L18"/>
    <mergeCell ref="B19:F19"/>
    <mergeCell ref="I19:L19"/>
  </mergeCells>
  <dataValidations count="1">
    <dataValidation allowBlank="1" showInputMessage="1" showErrorMessage="1" sqref="G17:H21" xr:uid="{0F6B290B-1556-40D1-9376-E55B7ACE3888}"/>
  </dataValidations>
  <hyperlinks>
    <hyperlink ref="A3:L3" location="'MapeoImpactosComandos'!I17" display="=MapeoImpactosComandos!J17" xr:uid="{6410720E-4A71-41C9-BC35-EDA1B35D3649}"/>
    <hyperlink ref="A1" location="'Objetos de Dominio'!A1" display="Volver al inicio" xr:uid="{98EE6DA0-401F-4F2E-8EA0-2A32AE3FE67A}"/>
    <hyperlink ref="A1:L1" location="'MapeoImpactosComandos'!A1" display="&lt;-Volver al listado" xr:uid="{D6F7FF59-3E97-4E3A-9515-B1679B0F959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ECFE6E-190C-40AF-852C-73D717A59A42}">
          <x14:formula1>
            <xm:f>Valores!$A$2:$A$3</xm:f>
          </x14:formula1>
          <xm:sqref>E12:L13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8CEC-D6DF-4EB8-823B-B90C502E0D16}">
  <dimension ref="A1:Q22"/>
  <sheetViews>
    <sheetView workbookViewId="0">
      <selection activeCell="E12" sqref="E12:L12"/>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MapeoImpactosComandos!J18</f>
        <v>HU-BASE-015-Modificar información de entrenadores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MapeoImpactosComandos!P18</f>
        <v>Administrador del sistema</v>
      </c>
      <c r="C5" s="69"/>
      <c r="D5" s="69"/>
      <c r="E5" s="69"/>
      <c r="F5" s="69"/>
      <c r="G5" s="69"/>
      <c r="H5" s="69"/>
      <c r="I5" s="69"/>
      <c r="J5" s="69"/>
      <c r="K5" s="69"/>
      <c r="L5" s="90"/>
    </row>
    <row r="6" spans="1:17">
      <c r="A6" s="33" t="s">
        <v>21</v>
      </c>
      <c r="B6" s="69" t="str">
        <f>MapeoImpactosComandos!Q18</f>
        <v>poder modificar a los entrenadores de la aplicación</v>
      </c>
      <c r="C6" s="69"/>
      <c r="D6" s="69"/>
      <c r="E6" s="69"/>
      <c r="F6" s="69"/>
      <c r="G6" s="69"/>
      <c r="H6" s="69"/>
      <c r="I6" s="69"/>
      <c r="J6" s="69"/>
      <c r="K6" s="69"/>
      <c r="L6" s="90"/>
    </row>
    <row r="7" spans="1:17" ht="52.5" customHeight="1">
      <c r="A7" s="33" t="s">
        <v>22</v>
      </c>
      <c r="B7" s="69" t="str">
        <f>MapeoImpactosComandos!R18</f>
        <v>Permitir la gestión de los entrenadores e informes generados por la aplicación, para facilitar la supervisión y el seguimiento de los procesos.</v>
      </c>
      <c r="C7" s="69"/>
      <c r="D7" s="69"/>
      <c r="E7" s="69"/>
      <c r="F7" s="69"/>
      <c r="G7" s="69"/>
      <c r="H7" s="69"/>
      <c r="I7" s="69"/>
      <c r="J7" s="69"/>
      <c r="K7" s="69"/>
      <c r="L7" s="90"/>
    </row>
    <row r="8" spans="1:17" ht="60" customHeight="1">
      <c r="A8" s="91" t="str">
        <f>MapeoImpactosComandos!K18</f>
        <v>Como Administrador del sistema Necesito poder modificar a los entrenadores de la aplicación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MapeoImpactosComandos!L18</f>
        <v>S</v>
      </c>
      <c r="F10" s="69"/>
      <c r="G10" s="69"/>
      <c r="H10" s="69"/>
      <c r="I10" s="69"/>
      <c r="J10" s="69"/>
      <c r="K10" s="69"/>
      <c r="L10" s="90"/>
    </row>
    <row r="11" spans="1:17" ht="15" customHeight="1">
      <c r="A11" s="91" t="str">
        <f>MapeoImpactosComandos!M3</f>
        <v>Talla(Complejidad)</v>
      </c>
      <c r="B11" s="69"/>
      <c r="C11" s="69"/>
      <c r="D11" s="69"/>
      <c r="E11" s="69" t="str">
        <f>MapeoImpactosComandos!M18</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189</v>
      </c>
      <c r="C17" s="127"/>
      <c r="D17" s="127"/>
      <c r="E17" s="127"/>
      <c r="F17" s="127"/>
      <c r="G17" s="51" t="s">
        <v>129</v>
      </c>
      <c r="H17" s="52"/>
      <c r="I17" s="128"/>
      <c r="J17" s="128"/>
      <c r="K17" s="128"/>
      <c r="L17" s="128"/>
    </row>
    <row r="18" spans="1:12" ht="89.25" customHeight="1">
      <c r="A18" s="50" t="s">
        <v>130</v>
      </c>
      <c r="B18" s="126" t="s">
        <v>190</v>
      </c>
      <c r="C18" s="127"/>
      <c r="D18" s="127"/>
      <c r="E18" s="127"/>
      <c r="F18" s="127"/>
      <c r="G18" s="51" t="s">
        <v>129</v>
      </c>
      <c r="H18" s="52"/>
      <c r="I18" s="128"/>
      <c r="J18" s="128"/>
      <c r="K18" s="128"/>
      <c r="L18" s="128"/>
    </row>
    <row r="19" spans="1:12" ht="75.75" customHeight="1">
      <c r="A19" s="50" t="s">
        <v>132</v>
      </c>
      <c r="B19" s="126" t="s">
        <v>191</v>
      </c>
      <c r="C19" s="127"/>
      <c r="D19" s="127"/>
      <c r="E19" s="127"/>
      <c r="F19" s="127"/>
      <c r="G19" s="51" t="s">
        <v>129</v>
      </c>
      <c r="H19" s="52"/>
      <c r="I19" s="128"/>
      <c r="J19" s="128"/>
      <c r="K19" s="128"/>
      <c r="L19" s="128"/>
    </row>
    <row r="20" spans="1:12" ht="78" customHeight="1">
      <c r="A20" s="50" t="s">
        <v>134</v>
      </c>
      <c r="B20" s="126" t="s">
        <v>192</v>
      </c>
      <c r="C20" s="127"/>
      <c r="D20" s="127"/>
      <c r="E20" s="127"/>
      <c r="F20" s="127"/>
      <c r="G20" s="51" t="s">
        <v>129</v>
      </c>
      <c r="H20" s="52"/>
      <c r="I20" s="128"/>
      <c r="J20" s="128"/>
      <c r="K20" s="128"/>
      <c r="L20" s="128"/>
    </row>
    <row r="21" spans="1:12" ht="61.5" customHeight="1">
      <c r="A21" s="50" t="s">
        <v>136</v>
      </c>
      <c r="B21" s="126" t="s">
        <v>193</v>
      </c>
      <c r="C21" s="127"/>
      <c r="D21" s="127"/>
      <c r="E21" s="127"/>
      <c r="F21" s="127"/>
      <c r="G21" s="51" t="s">
        <v>129</v>
      </c>
      <c r="H21" s="52"/>
      <c r="I21" s="128"/>
      <c r="J21" s="128"/>
      <c r="K21" s="128"/>
      <c r="L21" s="128"/>
    </row>
    <row r="22" spans="1:12" ht="66.75" customHeight="1">
      <c r="A22" s="53" t="s">
        <v>138</v>
      </c>
      <c r="B22" s="129" t="s">
        <v>194</v>
      </c>
      <c r="C22" s="130"/>
      <c r="D22" s="130"/>
      <c r="E22" s="130"/>
      <c r="F22" s="130"/>
      <c r="G22" s="54" t="s">
        <v>129</v>
      </c>
      <c r="H22" s="55"/>
      <c r="I22" s="131"/>
      <c r="J22" s="131"/>
      <c r="K22" s="131"/>
      <c r="L22" s="131"/>
    </row>
  </sheetData>
  <mergeCells count="34">
    <mergeCell ref="B6:L6"/>
    <mergeCell ref="A1:L1"/>
    <mergeCell ref="A2:L2"/>
    <mergeCell ref="A3:L3"/>
    <mergeCell ref="A4:L4"/>
    <mergeCell ref="B5:L5"/>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17:F17"/>
    <mergeCell ref="I17:L17"/>
    <mergeCell ref="B18:F18"/>
    <mergeCell ref="I18:L18"/>
    <mergeCell ref="B19:F19"/>
    <mergeCell ref="I19:L19"/>
    <mergeCell ref="B20:F20"/>
    <mergeCell ref="I20:L20"/>
    <mergeCell ref="B21:F21"/>
    <mergeCell ref="I21:L21"/>
    <mergeCell ref="B22:F22"/>
    <mergeCell ref="I22:L22"/>
  </mergeCells>
  <dataValidations count="1">
    <dataValidation allowBlank="1" showInputMessage="1" showErrorMessage="1" sqref="G17:H22" xr:uid="{B007664C-9165-40B9-9E72-E7FEBF0FE13A}"/>
  </dataValidations>
  <hyperlinks>
    <hyperlink ref="A3:L3" location="'MapeoImpactosComandos'!I18" display="=MapeoImpactosComandos!J18" xr:uid="{65790619-9103-4909-A373-E7BD7063AF6A}"/>
    <hyperlink ref="A1" location="'Objetos de Dominio'!A1" display="Volver al inicio" xr:uid="{37FA8E76-D7BD-4F83-8C2C-1ACBAFF2B754}"/>
    <hyperlink ref="A1:L1" location="'MapeoImpactosComandos'!A1" display="&lt;-Volver al listado" xr:uid="{25B15D60-7CFA-4DB9-8EC0-D33C39E87C1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D01BB50-95D9-4A7E-A663-10A47E5ECFD6}">
          <x14:formula1>
            <xm:f>Valores!$A$2:$A$3</xm:f>
          </x14:formula1>
          <xm:sqref>E12:L13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9DD5-EAE6-4672-A062-F88A711069B7}">
  <dimension ref="A1:Q20"/>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MapeoImpactosComandos!J19</f>
        <v>HU-BASE-016-Consultar información de entrenadores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MapeoImpactosComandos!P19</f>
        <v>Administrador del sistema</v>
      </c>
      <c r="C5" s="69"/>
      <c r="D5" s="69"/>
      <c r="E5" s="69"/>
      <c r="F5" s="69"/>
      <c r="G5" s="69"/>
      <c r="H5" s="69"/>
      <c r="I5" s="69"/>
      <c r="J5" s="69"/>
      <c r="K5" s="69"/>
      <c r="L5" s="90"/>
    </row>
    <row r="6" spans="1:17">
      <c r="A6" s="33" t="s">
        <v>21</v>
      </c>
      <c r="B6" s="69" t="str">
        <f>MapeoImpactosComandos!Q19</f>
        <v>poder consultar los entrenadores que se encuentran registrados en la aplicación</v>
      </c>
      <c r="C6" s="69"/>
      <c r="D6" s="69"/>
      <c r="E6" s="69"/>
      <c r="F6" s="69"/>
      <c r="G6" s="69"/>
      <c r="H6" s="69"/>
      <c r="I6" s="69"/>
      <c r="J6" s="69"/>
      <c r="K6" s="69"/>
      <c r="L6" s="90"/>
    </row>
    <row r="7" spans="1:17" ht="52.5" customHeight="1">
      <c r="A7" s="33" t="s">
        <v>22</v>
      </c>
      <c r="B7" s="69" t="str">
        <f>MapeoImpactosComandos!R19</f>
        <v>Permitir la gestión de los entrenadores e informes generados por la aplicación, para facilitar la supervisión y el seguimiento de los procesos.</v>
      </c>
      <c r="C7" s="69"/>
      <c r="D7" s="69"/>
      <c r="E7" s="69"/>
      <c r="F7" s="69"/>
      <c r="G7" s="69"/>
      <c r="H7" s="69"/>
      <c r="I7" s="69"/>
      <c r="J7" s="69"/>
      <c r="K7" s="69"/>
      <c r="L7" s="90"/>
    </row>
    <row r="8" spans="1:17" ht="60" customHeight="1">
      <c r="A8" s="91" t="str">
        <f>MapeoImpactosComandos!K19</f>
        <v>Como Administrador del sistema Necesito poder consultar los entrenadores que se encuentran registrados en la aplicación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MapeoImpactosComandos!L19</f>
        <v>XS</v>
      </c>
      <c r="F10" s="69"/>
      <c r="G10" s="69"/>
      <c r="H10" s="69"/>
      <c r="I10" s="69"/>
      <c r="J10" s="69"/>
      <c r="K10" s="69"/>
      <c r="L10" s="90"/>
    </row>
    <row r="11" spans="1:17" ht="15" customHeight="1">
      <c r="A11" s="91" t="str">
        <f>MapeoImpactosComandos!M3</f>
        <v>Talla(Complejidad)</v>
      </c>
      <c r="B11" s="69"/>
      <c r="C11" s="69"/>
      <c r="D11" s="69"/>
      <c r="E11" s="69" t="str">
        <f>MapeoImpactosComandos!M19</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195</v>
      </c>
      <c r="C17" s="127"/>
      <c r="D17" s="127"/>
      <c r="E17" s="127"/>
      <c r="F17" s="127"/>
      <c r="G17" s="51" t="s">
        <v>129</v>
      </c>
      <c r="H17" s="52"/>
      <c r="I17" s="128"/>
      <c r="J17" s="128"/>
      <c r="K17" s="128"/>
      <c r="L17" s="128"/>
    </row>
    <row r="18" spans="1:12" ht="89.25" customHeight="1">
      <c r="A18" s="50" t="s">
        <v>130</v>
      </c>
      <c r="B18" s="126" t="s">
        <v>196</v>
      </c>
      <c r="C18" s="127"/>
      <c r="D18" s="127"/>
      <c r="E18" s="127"/>
      <c r="F18" s="127"/>
      <c r="G18" s="51" t="s">
        <v>129</v>
      </c>
      <c r="H18" s="52"/>
      <c r="I18" s="128"/>
      <c r="J18" s="128"/>
      <c r="K18" s="128"/>
      <c r="L18" s="128"/>
    </row>
    <row r="19" spans="1:12" ht="75.75" customHeight="1">
      <c r="A19" s="50" t="s">
        <v>132</v>
      </c>
      <c r="B19" s="126" t="s">
        <v>197</v>
      </c>
      <c r="C19" s="127"/>
      <c r="D19" s="127"/>
      <c r="E19" s="127"/>
      <c r="F19" s="127"/>
      <c r="G19" s="51" t="s">
        <v>129</v>
      </c>
      <c r="H19" s="52"/>
      <c r="I19" s="128"/>
      <c r="J19" s="128"/>
      <c r="K19" s="128"/>
      <c r="L19" s="128"/>
    </row>
    <row r="20" spans="1:12" ht="78" customHeight="1">
      <c r="A20" s="50" t="s">
        <v>134</v>
      </c>
      <c r="B20" s="126" t="s">
        <v>198</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C3120DC6-1281-4FEC-B1C5-60B051A431E5}"/>
  </dataValidations>
  <hyperlinks>
    <hyperlink ref="A3:L3" location="'MapeoImpactosComandos'!I19" display="=MapeoImpactosComandos!J19" xr:uid="{0288210E-F29D-4B65-8444-A54F533C1F6C}"/>
    <hyperlink ref="A1" location="'Objetos de Dominio'!A1" display="Volver al inicio" xr:uid="{92BB1D81-4D86-460B-9B45-564D1725A1AB}"/>
    <hyperlink ref="A1:L1" location="'MapeoImpactosComandos'!A1" display="&lt;-Volver al listado" xr:uid="{B8059C37-BCEF-4403-A011-DF0E3905236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1DE098-89E3-477E-9C7C-606EFAF3D8A7}">
          <x14:formula1>
            <xm:f>Valores!$A$2:$A$3</xm:f>
          </x14:formula1>
          <xm:sqref>E12:L13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7356-62AA-4329-8DB8-FD7129747495}">
  <dimension ref="A1:Q20"/>
  <sheetViews>
    <sheetView workbookViewId="0">
      <selection activeCell="E23" sqref="E2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MapeoImpactosComandos!J20</f>
        <v>HU-BASE-017-Consultar información de estudiantes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MapeoImpactosComandos!P20</f>
        <v>Entrenador</v>
      </c>
      <c r="C5" s="69"/>
      <c r="D5" s="69"/>
      <c r="E5" s="69"/>
      <c r="F5" s="69"/>
      <c r="G5" s="69"/>
      <c r="H5" s="69"/>
      <c r="I5" s="69"/>
      <c r="J5" s="69"/>
      <c r="K5" s="69"/>
      <c r="L5" s="90"/>
    </row>
    <row r="6" spans="1:17">
      <c r="A6" s="33" t="s">
        <v>21</v>
      </c>
      <c r="B6" s="69" t="str">
        <f>MapeoImpactosComandos!Q20</f>
        <v>poder consultar los perfiles de los estudiantes</v>
      </c>
      <c r="C6" s="69"/>
      <c r="D6" s="69"/>
      <c r="E6" s="69"/>
      <c r="F6" s="69"/>
      <c r="G6" s="69"/>
      <c r="H6" s="69"/>
      <c r="I6" s="69"/>
      <c r="J6" s="69"/>
      <c r="K6" s="69"/>
      <c r="L6" s="90"/>
    </row>
    <row r="7" spans="1:17" ht="52.5" customHeight="1">
      <c r="A7" s="33" t="s">
        <v>22</v>
      </c>
      <c r="B7" s="69" t="str">
        <f>MapeoImpactosComandos!R20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MapeoImpactosComandos!K20</f>
        <v>Como Entrenador Necesito poder consultar los perfiles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MapeoImpactosComandos!L20</f>
        <v>S</v>
      </c>
      <c r="F10" s="69"/>
      <c r="G10" s="69"/>
      <c r="H10" s="69"/>
      <c r="I10" s="69"/>
      <c r="J10" s="69"/>
      <c r="K10" s="69"/>
      <c r="L10" s="90"/>
    </row>
    <row r="11" spans="1:17" ht="15" customHeight="1">
      <c r="A11" s="91" t="str">
        <f>MapeoImpactosComandos!M3</f>
        <v>Talla(Complejidad)</v>
      </c>
      <c r="B11" s="69"/>
      <c r="C11" s="69"/>
      <c r="D11" s="69"/>
      <c r="E11" s="69" t="str">
        <f>MapeoImpactosComandos!M20</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199</v>
      </c>
      <c r="C17" s="127"/>
      <c r="D17" s="127"/>
      <c r="E17" s="127"/>
      <c r="F17" s="127"/>
      <c r="G17" s="51" t="s">
        <v>129</v>
      </c>
      <c r="H17" s="52"/>
      <c r="I17" s="128"/>
      <c r="J17" s="128"/>
      <c r="K17" s="128"/>
      <c r="L17" s="128"/>
    </row>
    <row r="18" spans="1:12" ht="89.25" customHeight="1">
      <c r="A18" s="50" t="s">
        <v>130</v>
      </c>
      <c r="B18" s="126" t="s">
        <v>200</v>
      </c>
      <c r="C18" s="127"/>
      <c r="D18" s="127"/>
      <c r="E18" s="127"/>
      <c r="F18" s="127"/>
      <c r="G18" s="51" t="s">
        <v>129</v>
      </c>
      <c r="H18" s="52"/>
      <c r="I18" s="128"/>
      <c r="J18" s="128"/>
      <c r="K18" s="128"/>
      <c r="L18" s="128"/>
    </row>
    <row r="19" spans="1:12" ht="75.75" customHeight="1">
      <c r="A19" s="50" t="s">
        <v>132</v>
      </c>
      <c r="B19" s="126" t="s">
        <v>201</v>
      </c>
      <c r="C19" s="127"/>
      <c r="D19" s="127"/>
      <c r="E19" s="127"/>
      <c r="F19" s="127"/>
      <c r="G19" s="51" t="s">
        <v>129</v>
      </c>
      <c r="H19" s="52"/>
      <c r="I19" s="128"/>
      <c r="J19" s="128"/>
      <c r="K19" s="128"/>
      <c r="L19" s="128"/>
    </row>
    <row r="20" spans="1:12" ht="78" customHeight="1">
      <c r="A20" s="50" t="s">
        <v>134</v>
      </c>
      <c r="B20" s="126" t="s">
        <v>202</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FED86988-9BDE-469B-88AC-2287165FDA6E}"/>
  </dataValidations>
  <hyperlinks>
    <hyperlink ref="A3:L3" location="'MapeoImpactosComandos'!I20" display="=MapeoImpactosComandos!J20" xr:uid="{9289BD18-BA35-4208-97A0-C08E7932AA53}"/>
    <hyperlink ref="A1" location="'Objetos de Dominio'!A1" display="Volver al inicio" xr:uid="{14E9F438-AAA8-4A7D-A30E-DA08F7A54875}"/>
    <hyperlink ref="A1:L1" location="'MapeoImpactosComandos'!A1" display="&lt;-Volver al listado" xr:uid="{C1E329E0-F9F8-4D2A-925F-A524D01C63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DEC799-6436-40EF-B754-5FE684151799}">
          <x14:formula1>
            <xm:f>Valores!$A$2:$A$3</xm:f>
          </x14:formula1>
          <xm:sqref>E12:L13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628C-CC3D-4910-A6A0-4218E6435CAA}">
  <dimension ref="A1:Q20"/>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MapeoImpactosComandos!J21</f>
        <v>HU-BASE-018-Seleccionar identidad de género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MapeoImpactosComandos!P21</f>
        <v>Estudiante</v>
      </c>
      <c r="C5" s="69"/>
      <c r="D5" s="69"/>
      <c r="E5" s="69"/>
      <c r="F5" s="69"/>
      <c r="G5" s="69"/>
      <c r="H5" s="69"/>
      <c r="I5" s="69"/>
      <c r="J5" s="69"/>
      <c r="K5" s="69"/>
      <c r="L5" s="90"/>
    </row>
    <row r="6" spans="1:17">
      <c r="A6" s="33" t="s">
        <v>21</v>
      </c>
      <c r="B6" s="69" t="str">
        <f>MapeoImpactosComandos!Q21</f>
        <v>poder seleccionar el género del personaje que voy a usar</v>
      </c>
      <c r="C6" s="69"/>
      <c r="D6" s="69"/>
      <c r="E6" s="69"/>
      <c r="F6" s="69"/>
      <c r="G6" s="69"/>
      <c r="H6" s="69"/>
      <c r="I6" s="69"/>
      <c r="J6" s="69"/>
      <c r="K6" s="69"/>
      <c r="L6" s="90"/>
    </row>
    <row r="7" spans="1:17" ht="52.5" customHeight="1">
      <c r="A7" s="33" t="s">
        <v>22</v>
      </c>
      <c r="B7" s="69" t="str">
        <f>MapeoImpactosComandos!R21</f>
        <v>Realizar los diferentes entrenamientos cognitivos asignados, con el fin de mejorar las habilidades cognitivas en las que se haya identificado una oportunidad de desarrollo en el estudiante. ​</v>
      </c>
      <c r="C7" s="69"/>
      <c r="D7" s="69"/>
      <c r="E7" s="69"/>
      <c r="F7" s="69"/>
      <c r="G7" s="69"/>
      <c r="H7" s="69"/>
      <c r="I7" s="69"/>
      <c r="J7" s="69"/>
      <c r="K7" s="69"/>
      <c r="L7" s="90"/>
    </row>
    <row r="8" spans="1:17" ht="60" customHeight="1">
      <c r="A8" s="91" t="str">
        <f>MapeoImpactosComandos!K21</f>
        <v>Como Estudiante Necesito poder seleccionar el género del personaje que voy a usar Para Realizar los diferentes entrenamientos cognitivos asignados, con el fin de mejorar las habilidades cognitivas en las que se haya identificado una oportunidad de desarrollo en el estudiante. ​</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MapeoImpactosComandos!L21</f>
        <v>XS</v>
      </c>
      <c r="F10" s="69"/>
      <c r="G10" s="69"/>
      <c r="H10" s="69"/>
      <c r="I10" s="69"/>
      <c r="J10" s="69"/>
      <c r="K10" s="69"/>
      <c r="L10" s="90"/>
    </row>
    <row r="11" spans="1:17" ht="15" customHeight="1">
      <c r="A11" s="91" t="str">
        <f>MapeoImpactosComandos!M3</f>
        <v>Talla(Complejidad)</v>
      </c>
      <c r="B11" s="69"/>
      <c r="C11" s="69"/>
      <c r="D11" s="69"/>
      <c r="E11" s="69" t="str">
        <f>MapeoImpactosComandos!M21</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203</v>
      </c>
      <c r="C17" s="127"/>
      <c r="D17" s="127"/>
      <c r="E17" s="127"/>
      <c r="F17" s="127"/>
      <c r="G17" s="51" t="s">
        <v>129</v>
      </c>
      <c r="H17" s="52"/>
      <c r="I17" s="128"/>
      <c r="J17" s="128"/>
      <c r="K17" s="128"/>
      <c r="L17" s="128"/>
    </row>
    <row r="18" spans="1:12" ht="89.25" customHeight="1">
      <c r="A18" s="50" t="s">
        <v>130</v>
      </c>
      <c r="B18" s="126" t="s">
        <v>204</v>
      </c>
      <c r="C18" s="127"/>
      <c r="D18" s="127"/>
      <c r="E18" s="127"/>
      <c r="F18" s="127"/>
      <c r="G18" s="51" t="s">
        <v>129</v>
      </c>
      <c r="H18" s="52"/>
      <c r="I18" s="128"/>
      <c r="J18" s="128"/>
      <c r="K18" s="128"/>
      <c r="L18" s="128"/>
    </row>
    <row r="19" spans="1:12" ht="75.75" customHeight="1">
      <c r="A19" s="50" t="s">
        <v>132</v>
      </c>
      <c r="B19" s="126" t="s">
        <v>205</v>
      </c>
      <c r="C19" s="127"/>
      <c r="D19" s="127"/>
      <c r="E19" s="127"/>
      <c r="F19" s="127"/>
      <c r="G19" s="51" t="s">
        <v>129</v>
      </c>
      <c r="H19" s="52"/>
      <c r="I19" s="128"/>
      <c r="J19" s="128"/>
      <c r="K19" s="128"/>
      <c r="L19" s="128"/>
    </row>
    <row r="20" spans="1:12" ht="78" customHeight="1">
      <c r="A20" s="50" t="s">
        <v>134</v>
      </c>
      <c r="B20" s="126" t="s">
        <v>206</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60C3D043-6F68-4AFF-9526-D2EC03C28346}"/>
  </dataValidations>
  <hyperlinks>
    <hyperlink ref="A3:L3" location="'MapeoImpactosComandos'!I21" display="=MapeoImpactosComandos!J21" xr:uid="{A14319B0-F14D-4921-97C4-56C8DE0BC0BE}"/>
    <hyperlink ref="A1" location="'Objetos de Dominio'!A1" display="Volver al inicio" xr:uid="{EFC25467-B413-4E80-9746-61C7E7BC9E0D}"/>
    <hyperlink ref="A1:L1" location="'MapeoImpactosComandos'!A1" display="&lt;-Volver al listado" xr:uid="{4942B86D-ACBF-4828-9197-E23202BBA5C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1C4797-B424-4DC4-BE1D-377A563B0B7D}">
          <x14:formula1>
            <xm:f>Valores!$A$2:$A$3</xm:f>
          </x14:formula1>
          <xm:sqref>E12:L13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76D9-6C65-403F-BA1D-4CA0E68B5DF5}">
  <dimension ref="A1:Q19"/>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MapeoImpactosComandos!J22</f>
        <v>HU-BASE-019-Guardar progreso del entrenamiento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MapeoImpactosComandos!P22</f>
        <v>Entrenador</v>
      </c>
      <c r="C5" s="69"/>
      <c r="D5" s="69"/>
      <c r="E5" s="69"/>
      <c r="F5" s="69"/>
      <c r="G5" s="69"/>
      <c r="H5" s="69"/>
      <c r="I5" s="69"/>
      <c r="J5" s="69"/>
      <c r="K5" s="69"/>
      <c r="L5" s="90"/>
    </row>
    <row r="6" spans="1:17">
      <c r="A6" s="33" t="s">
        <v>21</v>
      </c>
      <c r="B6" s="69" t="str">
        <f>MapeoImpactosComandos!Q22</f>
        <v>poder guardar el progreso del entrenamiento</v>
      </c>
      <c r="C6" s="69"/>
      <c r="D6" s="69"/>
      <c r="E6" s="69"/>
      <c r="F6" s="69"/>
      <c r="G6" s="69"/>
      <c r="H6" s="69"/>
      <c r="I6" s="69"/>
      <c r="J6" s="69"/>
      <c r="K6" s="69"/>
      <c r="L6" s="90"/>
    </row>
    <row r="7" spans="1:17" ht="52.5" customHeight="1">
      <c r="A7" s="33" t="s">
        <v>22</v>
      </c>
      <c r="B7" s="69" t="str">
        <f>MapeoImpactosComandos!R22</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MapeoImpactosComandos!K22</f>
        <v>Como Entrenador Necesito poder guardar el progreso del entrenamiento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MapeoImpactosComandos!L22</f>
        <v>XS</v>
      </c>
      <c r="F10" s="69"/>
      <c r="G10" s="69"/>
      <c r="H10" s="69"/>
      <c r="I10" s="69"/>
      <c r="J10" s="69"/>
      <c r="K10" s="69"/>
      <c r="L10" s="90"/>
    </row>
    <row r="11" spans="1:17" ht="15" customHeight="1">
      <c r="A11" s="91" t="str">
        <f>MapeoImpactosComandos!M3</f>
        <v>Talla(Complejidad)</v>
      </c>
      <c r="B11" s="69"/>
      <c r="C11" s="69"/>
      <c r="D11" s="69"/>
      <c r="E11" s="69" t="str">
        <f>MapeoImpactosComandos!M22</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207</v>
      </c>
      <c r="C17" s="127"/>
      <c r="D17" s="127"/>
      <c r="E17" s="127"/>
      <c r="F17" s="127"/>
      <c r="G17" s="51" t="s">
        <v>129</v>
      </c>
      <c r="H17" s="52"/>
      <c r="I17" s="128"/>
      <c r="J17" s="128"/>
      <c r="K17" s="128"/>
      <c r="L17" s="128"/>
    </row>
    <row r="18" spans="1:12" ht="89.25" customHeight="1">
      <c r="A18" s="50" t="s">
        <v>130</v>
      </c>
      <c r="B18" s="126" t="s">
        <v>208</v>
      </c>
      <c r="C18" s="127"/>
      <c r="D18" s="127"/>
      <c r="E18" s="127"/>
      <c r="F18" s="127"/>
      <c r="G18" s="51" t="s">
        <v>129</v>
      </c>
      <c r="H18" s="52"/>
      <c r="I18" s="128"/>
      <c r="J18" s="128"/>
      <c r="K18" s="128"/>
      <c r="L18" s="128"/>
    </row>
    <row r="19" spans="1:12" ht="75.75" customHeight="1">
      <c r="A19" s="50" t="s">
        <v>132</v>
      </c>
      <c r="B19" s="126" t="s">
        <v>209</v>
      </c>
      <c r="C19" s="127"/>
      <c r="D19" s="127"/>
      <c r="E19" s="127"/>
      <c r="F19" s="127"/>
      <c r="G19" s="51" t="s">
        <v>129</v>
      </c>
      <c r="H19" s="52"/>
      <c r="I19" s="128"/>
      <c r="J19" s="128"/>
      <c r="K19" s="128"/>
      <c r="L19" s="128"/>
    </row>
  </sheetData>
  <mergeCells count="28">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19" xr:uid="{91B5FFBC-594D-4CF1-B50E-13C84DDC1D02}"/>
  </dataValidations>
  <hyperlinks>
    <hyperlink ref="A3:L3" location="'MapeoImpactosComandos'!I22" display="=MapeoImpactosComandos!J22" xr:uid="{5B9327D4-874D-44AC-B9E0-5718BC0FAF98}"/>
    <hyperlink ref="A1" location="'Objetos de Dominio'!A1" display="Volver al inicio" xr:uid="{A1766FB2-63F3-4491-ADBA-626925B546F6}"/>
    <hyperlink ref="A1:L1" location="'MapeoImpactosComandos'!A1" display="&lt;-Volver al listado" xr:uid="{487CE5CE-EC30-4C7F-ACD8-899CCDBB6C3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37437AE-D6F5-4221-A11A-4CFE6910A3DD}">
          <x14:formula1>
            <xm:f>Valores!$A$2:$A$3</xm:f>
          </x14:formula1>
          <xm:sqref>E12:L13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5CFA-6368-4B81-BAB3-3C45231E6285}">
  <dimension ref="A1:Q20"/>
  <sheetViews>
    <sheetView workbookViewId="0">
      <selection activeCell="A3" sqref="A3"/>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MapeoImpactosComandos!J23</f>
        <v>HU-BASE-020-Activar entrenadores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MapeoImpactosComandos!P23</f>
        <v>Administrador del sistema</v>
      </c>
      <c r="C5" s="69"/>
      <c r="D5" s="69"/>
      <c r="E5" s="69"/>
      <c r="F5" s="69"/>
      <c r="G5" s="69"/>
      <c r="H5" s="69"/>
      <c r="I5" s="69"/>
      <c r="J5" s="69"/>
      <c r="K5" s="69"/>
      <c r="L5" s="90"/>
    </row>
    <row r="6" spans="1:17">
      <c r="A6" s="33" t="s">
        <v>21</v>
      </c>
      <c r="B6" s="69" t="str">
        <f>MapeoImpactosComandos!Q23</f>
        <v>poder activar los perfiles de los entrenadores</v>
      </c>
      <c r="C6" s="69"/>
      <c r="D6" s="69"/>
      <c r="E6" s="69"/>
      <c r="F6" s="69"/>
      <c r="G6" s="69"/>
      <c r="H6" s="69"/>
      <c r="I6" s="69"/>
      <c r="J6" s="69"/>
      <c r="K6" s="69"/>
      <c r="L6" s="90"/>
    </row>
    <row r="7" spans="1:17" ht="39" customHeight="1">
      <c r="A7" s="33" t="s">
        <v>22</v>
      </c>
      <c r="B7" s="69" t="str">
        <f>MapeoImpactosComandos!R23</f>
        <v>Permitir la gestión de los entrenadores e informes generados por la aplicación, para facilitar la supervisión y el seguimiento de los procesos.</v>
      </c>
      <c r="C7" s="69"/>
      <c r="D7" s="69"/>
      <c r="E7" s="69"/>
      <c r="F7" s="69"/>
      <c r="G7" s="69"/>
      <c r="H7" s="69"/>
      <c r="I7" s="69"/>
      <c r="J7" s="69"/>
      <c r="K7" s="69"/>
      <c r="L7" s="90"/>
    </row>
    <row r="8" spans="1:17" ht="60" customHeight="1">
      <c r="A8" s="91" t="str">
        <f>MapeoImpactosComandos!K23</f>
        <v>Como Administrador del sistema Necesito poder activar los perfiles de los entrenadores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MapeoImpactosComandos!L23</f>
        <v>XS</v>
      </c>
      <c r="F10" s="69"/>
      <c r="G10" s="69"/>
      <c r="H10" s="69"/>
      <c r="I10" s="69"/>
      <c r="J10" s="69"/>
      <c r="K10" s="69"/>
      <c r="L10" s="90"/>
    </row>
    <row r="11" spans="1:17" ht="15" customHeight="1">
      <c r="A11" s="91" t="str">
        <f>MapeoImpactosComandos!M3</f>
        <v>Talla(Complejidad)</v>
      </c>
      <c r="B11" s="69"/>
      <c r="C11" s="69"/>
      <c r="D11" s="69"/>
      <c r="E11" s="69" t="str">
        <f>MapeoImpactosComandos!M23</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210</v>
      </c>
      <c r="C17" s="127"/>
      <c r="D17" s="127"/>
      <c r="E17" s="127"/>
      <c r="F17" s="127"/>
      <c r="G17" s="51" t="s">
        <v>129</v>
      </c>
      <c r="H17" s="52"/>
      <c r="I17" s="128"/>
      <c r="J17" s="128"/>
      <c r="K17" s="128"/>
      <c r="L17" s="128"/>
    </row>
    <row r="18" spans="1:12" ht="89.25" customHeight="1">
      <c r="A18" s="50" t="s">
        <v>130</v>
      </c>
      <c r="B18" s="126" t="s">
        <v>211</v>
      </c>
      <c r="C18" s="127"/>
      <c r="D18" s="127"/>
      <c r="E18" s="127"/>
      <c r="F18" s="127"/>
      <c r="G18" s="51" t="s">
        <v>129</v>
      </c>
      <c r="H18" s="52"/>
      <c r="I18" s="128"/>
      <c r="J18" s="128"/>
      <c r="K18" s="128"/>
      <c r="L18" s="128"/>
    </row>
    <row r="19" spans="1:12" ht="75.75" customHeight="1">
      <c r="A19" s="50" t="s">
        <v>132</v>
      </c>
      <c r="B19" s="126" t="s">
        <v>212</v>
      </c>
      <c r="C19" s="127"/>
      <c r="D19" s="127"/>
      <c r="E19" s="127"/>
      <c r="F19" s="127"/>
      <c r="G19" s="51" t="s">
        <v>129</v>
      </c>
      <c r="H19" s="52"/>
      <c r="I19" s="128"/>
      <c r="J19" s="128"/>
      <c r="K19" s="128"/>
      <c r="L19" s="128"/>
    </row>
    <row r="20" spans="1:12" ht="72.75" customHeight="1">
      <c r="A20" s="50" t="s">
        <v>134</v>
      </c>
      <c r="B20" s="126" t="s">
        <v>213</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67799D87-CD01-43C1-B7F6-163D3CE321AC}"/>
  </dataValidations>
  <hyperlinks>
    <hyperlink ref="A3:L3" location="'MapeoImpactosComandos'!I23" display="=MapeoImpactosComandos!J23" xr:uid="{2690FBE3-74AE-4998-A6E7-B73297CD634C}"/>
    <hyperlink ref="A1" location="'Objetos de Dominio'!A1" display="Volver al inicio" xr:uid="{E046763D-6004-43FB-A34C-00FC6F1730B8}"/>
    <hyperlink ref="A1:L1" location="'MapeoImpactosComandos'!A1" display="&lt;-Volver al listado" xr:uid="{495DE23E-E30B-4398-91DA-A9C85B55BD0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C4DA6D7-95E4-4382-8474-F20A3A5DC810}">
          <x14:formula1>
            <xm:f>Valores!$A$2:$A$3</xm:f>
          </x14:formula1>
          <xm:sqref>E12:L13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EB3D-BF31-4E20-84E9-F69062B23423}">
  <dimension ref="A1:Q20"/>
  <sheetViews>
    <sheetView topLeftCell="A8" workbookViewId="0">
      <selection activeCell="B17" sqref="B17:F20"/>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MapeoImpactosComandos!J24</f>
        <v>HU-BASE-021-Desactivar entrenadores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MapeoImpactosComandos!P24</f>
        <v>Administrador del sistema</v>
      </c>
      <c r="C5" s="69"/>
      <c r="D5" s="69"/>
      <c r="E5" s="69"/>
      <c r="F5" s="69"/>
      <c r="G5" s="69"/>
      <c r="H5" s="69"/>
      <c r="I5" s="69"/>
      <c r="J5" s="69"/>
      <c r="K5" s="69"/>
      <c r="L5" s="90"/>
    </row>
    <row r="6" spans="1:17">
      <c r="A6" s="33" t="s">
        <v>21</v>
      </c>
      <c r="B6" s="69" t="str">
        <f>MapeoImpactosComandos!Q24</f>
        <v>poder desactivar los perfiles de los entrenadores</v>
      </c>
      <c r="C6" s="69"/>
      <c r="D6" s="69"/>
      <c r="E6" s="69"/>
      <c r="F6" s="69"/>
      <c r="G6" s="69"/>
      <c r="H6" s="69"/>
      <c r="I6" s="69"/>
      <c r="J6" s="69"/>
      <c r="K6" s="69"/>
      <c r="L6" s="90"/>
    </row>
    <row r="7" spans="1:17" ht="39" customHeight="1">
      <c r="A7" s="33" t="s">
        <v>22</v>
      </c>
      <c r="B7" s="69" t="str">
        <f>MapeoImpactosComandos!R24</f>
        <v>Permitir la gestión de los entrenadores e informes generados por la aplicación, para facilitar la supervisión y el seguimiento de los procesos.</v>
      </c>
      <c r="C7" s="69"/>
      <c r="D7" s="69"/>
      <c r="E7" s="69"/>
      <c r="F7" s="69"/>
      <c r="G7" s="69"/>
      <c r="H7" s="69"/>
      <c r="I7" s="69"/>
      <c r="J7" s="69"/>
      <c r="K7" s="69"/>
      <c r="L7" s="90"/>
    </row>
    <row r="8" spans="1:17" ht="60" customHeight="1">
      <c r="A8" s="91" t="str">
        <f>MapeoImpactosComandos!K24</f>
        <v>Como Administrador del sistema Necesito poder desactivar los perfiles de los entrenadores Para Permitir la gestión de los entrenadores e informes generados por la aplicación, para facilitar la supervisión y el seguimiento de los procesos.</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MapeoImpactosComandos!L24</f>
        <v>XS</v>
      </c>
      <c r="F10" s="69"/>
      <c r="G10" s="69"/>
      <c r="H10" s="69"/>
      <c r="I10" s="69"/>
      <c r="J10" s="69"/>
      <c r="K10" s="69"/>
      <c r="L10" s="90"/>
    </row>
    <row r="11" spans="1:17" ht="15" customHeight="1">
      <c r="A11" s="91" t="str">
        <f>MapeoImpactosComandos!M3</f>
        <v>Talla(Complejidad)</v>
      </c>
      <c r="B11" s="69"/>
      <c r="C11" s="69"/>
      <c r="D11" s="69"/>
      <c r="E11" s="69" t="str">
        <f>MapeoImpactosComandos!M24</f>
        <v>XS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214</v>
      </c>
      <c r="C17" s="127"/>
      <c r="D17" s="127"/>
      <c r="E17" s="127"/>
      <c r="F17" s="127"/>
      <c r="G17" s="51" t="s">
        <v>129</v>
      </c>
      <c r="H17" s="52"/>
      <c r="I17" s="128"/>
      <c r="J17" s="128"/>
      <c r="K17" s="128"/>
      <c r="L17" s="128"/>
    </row>
    <row r="18" spans="1:12" ht="89.25" customHeight="1">
      <c r="A18" s="50" t="s">
        <v>130</v>
      </c>
      <c r="B18" s="126" t="s">
        <v>215</v>
      </c>
      <c r="C18" s="127"/>
      <c r="D18" s="127"/>
      <c r="E18" s="127"/>
      <c r="F18" s="127"/>
      <c r="G18" s="51" t="s">
        <v>129</v>
      </c>
      <c r="H18" s="52"/>
      <c r="I18" s="128"/>
      <c r="J18" s="128"/>
      <c r="K18" s="128"/>
      <c r="L18" s="128"/>
    </row>
    <row r="19" spans="1:12" ht="75.75" customHeight="1">
      <c r="A19" s="50" t="s">
        <v>132</v>
      </c>
      <c r="B19" s="126" t="s">
        <v>216</v>
      </c>
      <c r="C19" s="127"/>
      <c r="D19" s="127"/>
      <c r="E19" s="127"/>
      <c r="F19" s="127"/>
      <c r="G19" s="51" t="s">
        <v>129</v>
      </c>
      <c r="H19" s="52"/>
      <c r="I19" s="128"/>
      <c r="J19" s="128"/>
      <c r="K19" s="128"/>
      <c r="L19" s="128"/>
    </row>
    <row r="20" spans="1:12" ht="72.75" customHeight="1">
      <c r="A20" s="50" t="s">
        <v>134</v>
      </c>
      <c r="B20" s="126" t="s">
        <v>217</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3CB32EE3-EB5A-4F4A-86B7-39151328886B}"/>
  </dataValidations>
  <hyperlinks>
    <hyperlink ref="A3:L3" location="'MapeoImpactosComandos'!I24" display="=MapeoImpactosComandos!J24" xr:uid="{45D7426E-CBDF-4994-ADC8-6774E1F7A646}"/>
    <hyperlink ref="A1" location="'Objetos de Dominio'!A1" display="Volver al inicio" xr:uid="{4E0F9FA6-2AE9-47A9-A1D3-BF5A8DF84CCE}"/>
    <hyperlink ref="A1:L1" location="'MapeoImpactosComandos'!A1" display="&lt;-Volver al listado" xr:uid="{0B3B1746-A50D-42E3-B509-AD9477FD994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173114D-4652-4F20-8D31-2B9028FC05DA}">
          <x14:formula1>
            <xm:f>Valores!$A$2:$A$3</xm:f>
          </x14:formula1>
          <xm:sqref>E12:L13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D94A-F50B-44C7-96D5-4B1849158C7C}">
  <dimension ref="A1:Q20"/>
  <sheetViews>
    <sheetView workbookViewId="0">
      <selection activeCell="B7" sqref="B7"/>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MapeoImpactosComandos!J25</f>
        <v>HU-BASE-022-Modificar información de estudiantes</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MapeoImpactosComandos!P25</f>
        <v>Entrenador</v>
      </c>
      <c r="C5" s="69"/>
      <c r="D5" s="69"/>
      <c r="E5" s="69"/>
      <c r="F5" s="69"/>
      <c r="G5" s="69"/>
      <c r="H5" s="69"/>
      <c r="I5" s="69"/>
      <c r="J5" s="69"/>
      <c r="K5" s="69"/>
      <c r="L5" s="90"/>
    </row>
    <row r="6" spans="1:17">
      <c r="A6" s="33" t="s">
        <v>21</v>
      </c>
      <c r="B6" s="69" t="str">
        <f>MapeoImpactosComandos!Q25</f>
        <v>poder modificar la información de los estudiantes</v>
      </c>
      <c r="C6" s="69"/>
      <c r="D6" s="69"/>
      <c r="E6" s="69"/>
      <c r="F6" s="69"/>
      <c r="G6" s="69"/>
      <c r="H6" s="69"/>
      <c r="I6" s="69"/>
      <c r="J6" s="69"/>
      <c r="K6" s="69"/>
      <c r="L6" s="90"/>
    </row>
    <row r="7" spans="1:17" ht="51" customHeight="1">
      <c r="A7" s="33" t="s">
        <v>22</v>
      </c>
      <c r="B7" s="69" t="str">
        <f>MapeoImpactosComandos!R25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MapeoImpactosComandos!K25</f>
        <v>Como Entrenador Necesito poder modificar la información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MapeoImpactosComandos!L25</f>
        <v>S</v>
      </c>
      <c r="F10" s="69"/>
      <c r="G10" s="69"/>
      <c r="H10" s="69"/>
      <c r="I10" s="69"/>
      <c r="J10" s="69"/>
      <c r="K10" s="69"/>
      <c r="L10" s="90"/>
    </row>
    <row r="11" spans="1:17" ht="15" customHeight="1">
      <c r="A11" s="91" t="str">
        <f>MapeoImpactosComandos!M3</f>
        <v>Talla(Complejidad)</v>
      </c>
      <c r="B11" s="69"/>
      <c r="C11" s="69"/>
      <c r="D11" s="69"/>
      <c r="E11" s="69" t="str">
        <f>MapeoImpactosComandos!M25</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26" t="s">
        <v>218</v>
      </c>
      <c r="C17" s="127"/>
      <c r="D17" s="127"/>
      <c r="E17" s="127"/>
      <c r="F17" s="127"/>
      <c r="G17" s="51" t="s">
        <v>129</v>
      </c>
      <c r="H17" s="52"/>
      <c r="I17" s="128"/>
      <c r="J17" s="128"/>
      <c r="K17" s="128"/>
      <c r="L17" s="128"/>
    </row>
    <row r="18" spans="1:12" ht="89.25" customHeight="1">
      <c r="A18" s="50" t="s">
        <v>130</v>
      </c>
      <c r="B18" s="126" t="s">
        <v>219</v>
      </c>
      <c r="C18" s="127"/>
      <c r="D18" s="127"/>
      <c r="E18" s="127"/>
      <c r="F18" s="127"/>
      <c r="G18" s="51" t="s">
        <v>129</v>
      </c>
      <c r="H18" s="52"/>
      <c r="I18" s="128"/>
      <c r="J18" s="128"/>
      <c r="K18" s="128"/>
      <c r="L18" s="128"/>
    </row>
    <row r="19" spans="1:12" ht="75.75" customHeight="1">
      <c r="A19" s="50" t="s">
        <v>132</v>
      </c>
      <c r="B19" s="126" t="s">
        <v>220</v>
      </c>
      <c r="C19" s="127"/>
      <c r="D19" s="127"/>
      <c r="E19" s="127"/>
      <c r="F19" s="127"/>
      <c r="G19" s="51" t="s">
        <v>129</v>
      </c>
      <c r="H19" s="52"/>
      <c r="I19" s="128"/>
      <c r="J19" s="128"/>
      <c r="K19" s="128"/>
      <c r="L19" s="128"/>
    </row>
    <row r="20" spans="1:12" ht="72.75" customHeight="1">
      <c r="A20" s="50" t="s">
        <v>134</v>
      </c>
      <c r="B20" s="126" t="s">
        <v>221</v>
      </c>
      <c r="C20" s="127"/>
      <c r="D20" s="127"/>
      <c r="E20" s="127"/>
      <c r="F20" s="127"/>
      <c r="G20" s="51" t="s">
        <v>129</v>
      </c>
      <c r="H20" s="52"/>
      <c r="I20" s="128"/>
      <c r="J20" s="128"/>
      <c r="K20" s="128"/>
      <c r="L20" s="128"/>
    </row>
  </sheetData>
  <mergeCells count="30">
    <mergeCell ref="B20:F20"/>
    <mergeCell ref="I20:L20"/>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20" xr:uid="{5027D46E-E781-45F5-88A6-6D9CFF232CC4}"/>
  </dataValidations>
  <hyperlinks>
    <hyperlink ref="A3:L3" location="'MapeoImpactosComandos'!I25" display="=MapeoImpactosComandos!J25" xr:uid="{BAF39144-527E-4D7D-B284-34F94EB467F1}"/>
    <hyperlink ref="A1" location="'Objetos de Dominio'!A1" display="Volver al inicio" xr:uid="{B2447F82-820F-428D-823A-16F930567AC8}"/>
    <hyperlink ref="A1:L1" location="'MapeoImpactosComandos'!A1" display="&lt;-Volver al listado" xr:uid="{FE0FF022-504E-4A41-A548-987052752B5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7A09AA-4CC9-4269-B9A7-F3F1CEB0C20A}">
          <x14:formula1>
            <xm:f>Valores!$A$2:$A$3</xm:f>
          </x14:formula1>
          <xm:sqref>E12:L13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24C9C-C79E-4E2C-BC5A-D8A1AB381D24}">
  <dimension ref="A1:Q19"/>
  <sheetViews>
    <sheetView workbookViewId="0">
      <selection activeCell="S12" sqref="S12"/>
    </sheetView>
  </sheetViews>
  <sheetFormatPr defaultColWidth="11.42578125" defaultRowHeight="15"/>
  <sheetData>
    <row r="1" spans="1:17">
      <c r="A1" s="95" t="s">
        <v>114</v>
      </c>
      <c r="B1" s="95"/>
      <c r="C1" s="95"/>
      <c r="D1" s="95"/>
      <c r="E1" s="95"/>
      <c r="F1" s="95"/>
      <c r="G1" s="95"/>
      <c r="H1" s="95"/>
      <c r="I1" s="95"/>
      <c r="J1" s="95"/>
      <c r="K1" s="95"/>
      <c r="L1" s="95"/>
      <c r="M1" s="32"/>
      <c r="N1" s="32"/>
      <c r="O1" s="32"/>
      <c r="P1" s="32"/>
      <c r="Q1" s="32"/>
    </row>
    <row r="2" spans="1:17" ht="21">
      <c r="A2" s="96" t="s">
        <v>115</v>
      </c>
      <c r="B2" s="97"/>
      <c r="C2" s="97"/>
      <c r="D2" s="97"/>
      <c r="E2" s="97"/>
      <c r="F2" s="97"/>
      <c r="G2" s="97"/>
      <c r="H2" s="97"/>
      <c r="I2" s="97"/>
      <c r="J2" s="97"/>
      <c r="K2" s="97"/>
      <c r="L2" s="98"/>
    </row>
    <row r="3" spans="1:17">
      <c r="A3" s="99" t="str">
        <f>MapeoImpactosComandos!J26</f>
        <v>HU-BASE-023-Descargar informe de entrenamiento cognitivo</v>
      </c>
      <c r="B3" s="100"/>
      <c r="C3" s="100"/>
      <c r="D3" s="100"/>
      <c r="E3" s="100"/>
      <c r="F3" s="100"/>
      <c r="G3" s="100"/>
      <c r="H3" s="100"/>
      <c r="I3" s="100"/>
      <c r="J3" s="100"/>
      <c r="K3" s="100"/>
      <c r="L3" s="101"/>
    </row>
    <row r="4" spans="1:17" ht="21">
      <c r="A4" s="92" t="s">
        <v>116</v>
      </c>
      <c r="B4" s="93"/>
      <c r="C4" s="93"/>
      <c r="D4" s="93"/>
      <c r="E4" s="93"/>
      <c r="F4" s="93"/>
      <c r="G4" s="93"/>
      <c r="H4" s="93"/>
      <c r="I4" s="93"/>
      <c r="J4" s="93"/>
      <c r="K4" s="93"/>
      <c r="L4" s="94"/>
    </row>
    <row r="5" spans="1:17">
      <c r="A5" s="33" t="s">
        <v>20</v>
      </c>
      <c r="B5" s="69" t="str">
        <f>MapeoImpactosComandos!P26</f>
        <v>Entrenador</v>
      </c>
      <c r="C5" s="69"/>
      <c r="D5" s="69"/>
      <c r="E5" s="69"/>
      <c r="F5" s="69"/>
      <c r="G5" s="69"/>
      <c r="H5" s="69"/>
      <c r="I5" s="69"/>
      <c r="J5" s="69"/>
      <c r="K5" s="69"/>
      <c r="L5" s="90"/>
    </row>
    <row r="6" spans="1:17">
      <c r="A6" s="33" t="s">
        <v>21</v>
      </c>
      <c r="B6" s="69" t="str">
        <f>MapeoImpactosComandos!Q26</f>
        <v>poder descargar el informe del entrenamiento cognitivo</v>
      </c>
      <c r="C6" s="69"/>
      <c r="D6" s="69"/>
      <c r="E6" s="69"/>
      <c r="F6" s="69"/>
      <c r="G6" s="69"/>
      <c r="H6" s="69"/>
      <c r="I6" s="69"/>
      <c r="J6" s="69"/>
      <c r="K6" s="69"/>
      <c r="L6" s="90"/>
    </row>
    <row r="7" spans="1:17" ht="51" customHeight="1">
      <c r="A7" s="33" t="s">
        <v>22</v>
      </c>
      <c r="B7" s="69" t="str">
        <f>MapeoImpactosComandos!R26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69"/>
      <c r="D7" s="69"/>
      <c r="E7" s="69"/>
      <c r="F7" s="69"/>
      <c r="G7" s="69"/>
      <c r="H7" s="69"/>
      <c r="I7" s="69"/>
      <c r="J7" s="69"/>
      <c r="K7" s="69"/>
      <c r="L7" s="90"/>
    </row>
    <row r="8" spans="1:17" ht="60" customHeight="1">
      <c r="A8" s="91" t="str">
        <f>MapeoImpactosComandos!K26</f>
        <v>Como Entrenador Necesito poder descargar el informe del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69"/>
      <c r="C8" s="69"/>
      <c r="D8" s="69"/>
      <c r="E8" s="69"/>
      <c r="F8" s="69"/>
      <c r="G8" s="69"/>
      <c r="H8" s="69"/>
      <c r="I8" s="69"/>
      <c r="J8" s="69"/>
      <c r="K8" s="69"/>
      <c r="L8" s="90"/>
    </row>
    <row r="9" spans="1:17" ht="21">
      <c r="A9" s="92" t="s">
        <v>117</v>
      </c>
      <c r="B9" s="93"/>
      <c r="C9" s="93"/>
      <c r="D9" s="93"/>
      <c r="E9" s="93"/>
      <c r="F9" s="93"/>
      <c r="G9" s="93"/>
      <c r="H9" s="93"/>
      <c r="I9" s="93"/>
      <c r="J9" s="93"/>
      <c r="K9" s="93"/>
      <c r="L9" s="94"/>
    </row>
    <row r="10" spans="1:17">
      <c r="A10" s="91" t="str">
        <f>MapeoImpactosComandos!L3</f>
        <v>Talla(Tamaño)</v>
      </c>
      <c r="B10" s="69"/>
      <c r="C10" s="69"/>
      <c r="D10" s="69"/>
      <c r="E10" s="69" t="str">
        <f>MapeoImpactosComandos!L26</f>
        <v>S</v>
      </c>
      <c r="F10" s="69"/>
      <c r="G10" s="69"/>
      <c r="H10" s="69"/>
      <c r="I10" s="69"/>
      <c r="J10" s="69"/>
      <c r="K10" s="69"/>
      <c r="L10" s="90"/>
    </row>
    <row r="11" spans="1:17" ht="15" customHeight="1">
      <c r="A11" s="91" t="str">
        <f>MapeoImpactosComandos!M3</f>
        <v>Talla(Complejidad)</v>
      </c>
      <c r="B11" s="69"/>
      <c r="C11" s="69"/>
      <c r="D11" s="69"/>
      <c r="E11" s="69" t="str">
        <f>MapeoImpactosComandos!M26</f>
        <v>S</v>
      </c>
      <c r="F11" s="69"/>
      <c r="G11" s="69"/>
      <c r="H11" s="69"/>
      <c r="I11" s="69"/>
      <c r="J11" s="69"/>
      <c r="K11" s="69"/>
      <c r="L11" s="90"/>
    </row>
    <row r="12" spans="1:17" ht="15" customHeight="1">
      <c r="A12" s="85" t="s">
        <v>118</v>
      </c>
      <c r="B12" s="86"/>
      <c r="C12" s="86"/>
      <c r="D12" s="87"/>
      <c r="E12" s="88" t="s">
        <v>29</v>
      </c>
      <c r="F12" s="86"/>
      <c r="G12" s="86"/>
      <c r="H12" s="86"/>
      <c r="I12" s="86"/>
      <c r="J12" s="86"/>
      <c r="K12" s="86"/>
      <c r="L12" s="89"/>
    </row>
    <row r="13" spans="1:17" ht="15" customHeight="1">
      <c r="A13" s="85" t="s">
        <v>119</v>
      </c>
      <c r="B13" s="86"/>
      <c r="C13" s="86"/>
      <c r="D13" s="87"/>
      <c r="E13" s="88" t="s">
        <v>29</v>
      </c>
      <c r="F13" s="86"/>
      <c r="G13" s="86"/>
      <c r="H13" s="86"/>
      <c r="I13" s="86"/>
      <c r="J13" s="86"/>
      <c r="K13" s="86"/>
      <c r="L13" s="89"/>
    </row>
    <row r="14" spans="1:17" ht="21">
      <c r="A14" s="76" t="s">
        <v>120</v>
      </c>
      <c r="B14" s="77"/>
      <c r="C14" s="77"/>
      <c r="D14" s="77"/>
      <c r="E14" s="77"/>
      <c r="F14" s="77"/>
      <c r="G14" s="77"/>
      <c r="H14" s="77"/>
      <c r="I14" s="77"/>
      <c r="J14" s="77"/>
      <c r="K14" s="77"/>
      <c r="L14" s="78"/>
    </row>
    <row r="15" spans="1:17">
      <c r="A15" s="132" t="s">
        <v>121</v>
      </c>
      <c r="B15" s="132" t="s">
        <v>122</v>
      </c>
      <c r="C15" s="132"/>
      <c r="D15" s="132"/>
      <c r="E15" s="132"/>
      <c r="F15" s="132"/>
      <c r="G15" s="132" t="s">
        <v>123</v>
      </c>
      <c r="H15" s="132"/>
      <c r="I15" s="132" t="s">
        <v>124</v>
      </c>
      <c r="J15" s="132"/>
      <c r="K15" s="132"/>
      <c r="L15" s="132"/>
    </row>
    <row r="16" spans="1:17">
      <c r="A16" s="133"/>
      <c r="B16" s="133"/>
      <c r="C16" s="133"/>
      <c r="D16" s="133"/>
      <c r="E16" s="133"/>
      <c r="F16" s="133"/>
      <c r="G16" s="56" t="s">
        <v>125</v>
      </c>
      <c r="H16" s="57" t="s">
        <v>126</v>
      </c>
      <c r="I16" s="133"/>
      <c r="J16" s="133"/>
      <c r="K16" s="133"/>
      <c r="L16" s="133"/>
    </row>
    <row r="17" spans="1:12" ht="90.75" customHeight="1">
      <c r="A17" s="50" t="s">
        <v>127</v>
      </c>
      <c r="B17" s="134" t="s">
        <v>222</v>
      </c>
      <c r="C17" s="135"/>
      <c r="D17" s="135"/>
      <c r="E17" s="135"/>
      <c r="F17" s="136"/>
      <c r="G17" s="51" t="s">
        <v>129</v>
      </c>
      <c r="H17" s="52"/>
      <c r="I17" s="128"/>
      <c r="J17" s="128"/>
      <c r="K17" s="128"/>
      <c r="L17" s="128"/>
    </row>
    <row r="18" spans="1:12" ht="89.25" customHeight="1">
      <c r="A18" s="50" t="s">
        <v>130</v>
      </c>
      <c r="B18" s="134" t="s">
        <v>223</v>
      </c>
      <c r="C18" s="135"/>
      <c r="D18" s="135"/>
      <c r="E18" s="135"/>
      <c r="F18" s="136"/>
      <c r="G18" s="51" t="s">
        <v>129</v>
      </c>
      <c r="H18" s="52"/>
      <c r="I18" s="128"/>
      <c r="J18" s="128"/>
      <c r="K18" s="128"/>
      <c r="L18" s="128"/>
    </row>
    <row r="19" spans="1:12" ht="75.75" customHeight="1">
      <c r="A19" s="50" t="s">
        <v>132</v>
      </c>
      <c r="B19" s="134" t="s">
        <v>224</v>
      </c>
      <c r="C19" s="135"/>
      <c r="D19" s="135"/>
      <c r="E19" s="135"/>
      <c r="F19" s="136"/>
      <c r="G19" s="51" t="s">
        <v>129</v>
      </c>
      <c r="H19" s="52"/>
      <c r="I19" s="128"/>
      <c r="J19" s="128"/>
      <c r="K19" s="128"/>
      <c r="L19" s="128"/>
    </row>
  </sheetData>
  <mergeCells count="28">
    <mergeCell ref="B17:F17"/>
    <mergeCell ref="I17:L17"/>
    <mergeCell ref="B18:F18"/>
    <mergeCell ref="I18:L18"/>
    <mergeCell ref="B19:F19"/>
    <mergeCell ref="I19:L19"/>
    <mergeCell ref="A15:A16"/>
    <mergeCell ref="B15:F16"/>
    <mergeCell ref="G15:H15"/>
    <mergeCell ref="I15:L16"/>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dataValidations count="1">
    <dataValidation allowBlank="1" showInputMessage="1" showErrorMessage="1" sqref="G17:H19" xr:uid="{F375161E-7BD0-4644-B781-A03CC3924AFA}"/>
  </dataValidations>
  <hyperlinks>
    <hyperlink ref="A3:L3" location="'MapeoImpactosComandos'!I26" display="=MapeoImpactosComandos!J26" xr:uid="{EEA08EB3-B559-4C98-817C-656EFA54C03C}"/>
    <hyperlink ref="A1" location="'Objetos de Dominio'!A1" display="Volver al inicio" xr:uid="{9DDEE927-858A-49AD-AFEC-D7EB0C01A813}"/>
    <hyperlink ref="A1:L1" location="'MapeoImpactosComandos'!A1" display="&lt;-Volver al listado" xr:uid="{A1C37C72-2CB1-4CEC-A47A-3F5A14ADBC8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547DFF3-8771-487E-B5F6-F13EF8FB6F14}">
          <x14:formula1>
            <xm:f>Valores!$A$2:$A$3</xm:f>
          </x14:formula1>
          <xm:sqref>E12:L13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E83A-8B65-4B7F-A649-6A6196C7CAA6}">
  <dimension ref="D1:K13"/>
  <sheetViews>
    <sheetView workbookViewId="0"/>
  </sheetViews>
  <sheetFormatPr defaultRowHeight="15"/>
  <cols>
    <col min="5" max="5" width="28.42578125" bestFit="1" customWidth="1"/>
  </cols>
  <sheetData>
    <row r="1" spans="4:11">
      <c r="D1" s="27"/>
      <c r="E1" s="26"/>
      <c r="F1" s="28" t="s">
        <v>225</v>
      </c>
      <c r="G1" s="29" t="s">
        <v>226</v>
      </c>
      <c r="H1" s="29" t="s">
        <v>227</v>
      </c>
      <c r="I1" s="29" t="s">
        <v>228</v>
      </c>
      <c r="J1" s="29" t="s">
        <v>229</v>
      </c>
      <c r="K1" s="29" t="s">
        <v>230</v>
      </c>
    </row>
    <row r="2" spans="4:11">
      <c r="D2" s="137" t="s">
        <v>231</v>
      </c>
      <c r="E2" s="30" t="s">
        <v>232</v>
      </c>
      <c r="F2" s="2" t="s">
        <v>129</v>
      </c>
      <c r="G2" s="2"/>
      <c r="H2" s="2"/>
      <c r="I2" s="2"/>
      <c r="J2" s="2"/>
      <c r="K2" s="2"/>
    </row>
    <row r="3" spans="4:11">
      <c r="D3" s="138"/>
      <c r="E3" s="31" t="s">
        <v>233</v>
      </c>
      <c r="F3" s="1"/>
      <c r="G3" s="1" t="s">
        <v>129</v>
      </c>
      <c r="H3" s="1"/>
      <c r="I3" s="1"/>
      <c r="J3" s="1"/>
      <c r="K3" s="1"/>
    </row>
    <row r="4" spans="4:11">
      <c r="D4" s="138"/>
      <c r="E4" s="31" t="s">
        <v>234</v>
      </c>
      <c r="F4" s="1"/>
      <c r="G4" s="1"/>
      <c r="H4" s="1" t="s">
        <v>129</v>
      </c>
      <c r="I4" s="1"/>
      <c r="J4" s="1"/>
      <c r="K4" s="1"/>
    </row>
    <row r="5" spans="4:11">
      <c r="D5" s="138" t="s">
        <v>235</v>
      </c>
      <c r="E5" s="31" t="s">
        <v>232</v>
      </c>
      <c r="F5" s="1"/>
      <c r="G5" s="1" t="s">
        <v>129</v>
      </c>
      <c r="H5" s="1"/>
      <c r="I5" s="1"/>
      <c r="J5" s="1"/>
      <c r="K5" s="1"/>
    </row>
    <row r="6" spans="4:11">
      <c r="D6" s="138"/>
      <c r="E6" s="31" t="s">
        <v>233</v>
      </c>
      <c r="F6" s="1"/>
      <c r="G6" s="1"/>
      <c r="H6" s="1" t="s">
        <v>129</v>
      </c>
      <c r="I6" s="1"/>
      <c r="J6" s="1"/>
      <c r="K6" s="1"/>
    </row>
    <row r="7" spans="4:11">
      <c r="D7" s="138"/>
      <c r="E7" s="31" t="s">
        <v>234</v>
      </c>
      <c r="F7" s="1"/>
      <c r="G7" s="1"/>
      <c r="H7" s="1"/>
      <c r="I7" s="1" t="s">
        <v>129</v>
      </c>
      <c r="J7" s="1"/>
      <c r="K7" s="1"/>
    </row>
    <row r="8" spans="4:11">
      <c r="D8" s="138" t="s">
        <v>236</v>
      </c>
      <c r="E8" s="31" t="s">
        <v>232</v>
      </c>
      <c r="F8" s="1"/>
      <c r="G8" s="1"/>
      <c r="H8" s="1" t="s">
        <v>129</v>
      </c>
      <c r="I8" s="1"/>
      <c r="J8" s="1"/>
      <c r="K8" s="1"/>
    </row>
    <row r="9" spans="4:11">
      <c r="D9" s="138"/>
      <c r="E9" s="31" t="s">
        <v>233</v>
      </c>
      <c r="F9" s="1"/>
      <c r="G9" s="1"/>
      <c r="H9" s="1"/>
      <c r="I9" s="1" t="s">
        <v>129</v>
      </c>
      <c r="J9" s="1"/>
      <c r="K9" s="1"/>
    </row>
    <row r="10" spans="4:11">
      <c r="D10" s="138"/>
      <c r="E10" s="31" t="s">
        <v>234</v>
      </c>
      <c r="F10" s="1"/>
      <c r="G10" s="1"/>
      <c r="H10" s="1"/>
      <c r="I10" s="1"/>
      <c r="J10" s="1" t="s">
        <v>129</v>
      </c>
      <c r="K10" s="1"/>
    </row>
    <row r="11" spans="4:11">
      <c r="D11" s="138" t="s">
        <v>237</v>
      </c>
      <c r="E11" s="31" t="s">
        <v>232</v>
      </c>
      <c r="F11" s="1"/>
      <c r="G11" s="1"/>
      <c r="H11" s="1"/>
      <c r="I11" s="1" t="s">
        <v>129</v>
      </c>
      <c r="J11" s="1"/>
      <c r="K11" s="1"/>
    </row>
    <row r="12" spans="4:11">
      <c r="D12" s="138"/>
      <c r="E12" s="31" t="s">
        <v>233</v>
      </c>
      <c r="F12" s="1"/>
      <c r="G12" s="1"/>
      <c r="H12" s="1"/>
      <c r="I12" s="1"/>
      <c r="J12" s="1" t="s">
        <v>129</v>
      </c>
      <c r="K12" s="1"/>
    </row>
    <row r="13" spans="4:11">
      <c r="D13" s="138"/>
      <c r="E13" s="31" t="s">
        <v>234</v>
      </c>
      <c r="F13" s="1"/>
      <c r="G13" s="1"/>
      <c r="H13" s="1"/>
      <c r="I13" s="1"/>
      <c r="J13" s="1"/>
      <c r="K13" s="1" t="s">
        <v>129</v>
      </c>
    </row>
  </sheetData>
  <mergeCells count="4">
    <mergeCell ref="D2:D4"/>
    <mergeCell ref="D5:D7"/>
    <mergeCell ref="D8:D10"/>
    <mergeCell ref="D11:D1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871F9-831D-437B-A3B3-E14E6D5A85BA}">
  <dimension ref="A1:A24"/>
  <sheetViews>
    <sheetView workbookViewId="0">
      <selection activeCell="A14" sqref="A14"/>
    </sheetView>
  </sheetViews>
  <sheetFormatPr defaultRowHeight="15"/>
  <cols>
    <col min="1" max="1" width="68.7109375" customWidth="1"/>
  </cols>
  <sheetData>
    <row r="1" spans="1:1" ht="21.75" customHeight="1">
      <c r="A1" s="23" t="s">
        <v>238</v>
      </c>
    </row>
    <row r="2" spans="1:1" ht="15.75">
      <c r="A2" s="24" t="str">
        <f>MapeoImpactosComandos!J4</f>
        <v>HU-BASE-001-Registrar información de un nuevo entrenador</v>
      </c>
    </row>
    <row r="3" spans="1:1" ht="15.75">
      <c r="A3" s="24" t="str">
        <f>MapeoImpactosComandos!J5</f>
        <v>HU-BASE-002-Comenzar un entrenamiento cognitivo</v>
      </c>
    </row>
    <row r="4" spans="1:1" ht="15.75">
      <c r="A4" s="24" t="str">
        <f>MapeoImpactosComandos!J6</f>
        <v>HU-BASE-003-Dar acceso a entrenamiento cognitivo</v>
      </c>
    </row>
    <row r="5" spans="1:1" ht="27" customHeight="1">
      <c r="A5" s="24" t="str">
        <f>MapeoImpactosComandos!J7</f>
        <v>HU-BASE-004-Generar informes de entrenamientos cognitivos creados asignados</v>
      </c>
    </row>
    <row r="6" spans="1:1" ht="15.75">
      <c r="A6" s="24" t="str">
        <f>MapeoImpactosComandos!J8</f>
        <v>HU-BASE-005-Consultar historial de entrenamiento cognitivo</v>
      </c>
    </row>
    <row r="7" spans="1:1" ht="15.75">
      <c r="A7" s="24" t="str">
        <f>MapeoImpactosComandos!J9</f>
        <v>HU-BASE-006-Crear un nuevo entrenamiento cognitivo</v>
      </c>
    </row>
    <row r="8" spans="1:1" ht="15.75">
      <c r="A8" s="24" t="str">
        <f>MapeoImpactosComandos!J10</f>
        <v>HU-BASE-007-Modificar un entrenamiento cognitivo</v>
      </c>
    </row>
    <row r="9" spans="1:1" ht="15.75">
      <c r="A9" s="24" t="str">
        <f>MapeoImpactosComandos!J11</f>
        <v>HU-BASE-008-Iniciar sesion de entrenamiento</v>
      </c>
    </row>
    <row r="10" spans="1:1" ht="15.75">
      <c r="A10" s="24" t="str">
        <f>MapeoImpactosComandos!J12</f>
        <v>HU-BASE-009-Ingresar a una variable cognitiva a la que tenga acceso</v>
      </c>
    </row>
    <row r="11" spans="1:1" ht="15.75">
      <c r="A11" s="24" t="str">
        <f>MapeoImpactosComandos!J13</f>
        <v>HU-BASE-010-Abandonar variable cognitiva</v>
      </c>
    </row>
    <row r="12" spans="1:1" ht="15.75">
      <c r="A12" s="24" t="str">
        <f>MapeoImpactosComandos!J14</f>
        <v>HU-BASE-011-Registrar un nuevo estudiante</v>
      </c>
    </row>
    <row r="13" spans="1:1" ht="16.5" customHeight="1">
      <c r="A13" s="24" t="str">
        <f>MapeoImpactosComandos!J15</f>
        <v>HU-BASE-012-Aprobar abandono de variable cognitiva del estudiante</v>
      </c>
    </row>
    <row r="14" spans="1:1" ht="15.75">
      <c r="A14" s="24" t="str">
        <f>MapeoImpactosComandos!J16</f>
        <v>HU-BASE-013-Generar informes de entrenamientos cognitivos creados</v>
      </c>
    </row>
    <row r="15" spans="1:1" ht="15.75">
      <c r="A15" s="24" t="str">
        <f>MapeoImpactosComandos!J17</f>
        <v>HU-BASE-014-Crear observación de sesión de entrenamiento</v>
      </c>
    </row>
    <row r="16" spans="1:1" ht="15.75">
      <c r="A16" s="24" t="str">
        <f>MapeoImpactosComandos!J18</f>
        <v>HU-BASE-015-Modificar información de entrenadores</v>
      </c>
    </row>
    <row r="17" spans="1:1" ht="15.75">
      <c r="A17" s="24" t="str">
        <f>MapeoImpactosComandos!J19</f>
        <v>HU-BASE-016-Consultar información de entrenadores</v>
      </c>
    </row>
    <row r="18" spans="1:1" ht="15.75">
      <c r="A18" s="24" t="str">
        <f>MapeoImpactosComandos!J20</f>
        <v>HU-BASE-017-Consultar información de estudiantes</v>
      </c>
    </row>
    <row r="19" spans="1:1" ht="15.75">
      <c r="A19" s="24" t="str">
        <f>MapeoImpactosComandos!J21</f>
        <v>HU-BASE-018-Seleccionar identidad de género</v>
      </c>
    </row>
    <row r="20" spans="1:1" ht="15.75">
      <c r="A20" s="24" t="str">
        <f>MapeoImpactosComandos!J22</f>
        <v>HU-BASE-019-Guardar progreso del entrenamiento</v>
      </c>
    </row>
    <row r="21" spans="1:1" ht="15.75">
      <c r="A21" s="24" t="str">
        <f>MapeoImpactosComandos!J23</f>
        <v>HU-BASE-020-Activar entrenadores</v>
      </c>
    </row>
    <row r="22" spans="1:1" ht="15.75">
      <c r="A22" s="24" t="str">
        <f>MapeoImpactosComandos!J24</f>
        <v>HU-BASE-021-Desactivar entrenadores</v>
      </c>
    </row>
    <row r="23" spans="1:1" ht="15.75">
      <c r="A23" s="24" t="str">
        <f>MapeoImpactosComandos!J25</f>
        <v>HU-BASE-022-Modificar información de estudiantes</v>
      </c>
    </row>
    <row r="24" spans="1:1" ht="15.75">
      <c r="A24" s="25" t="str">
        <f>MapeoImpactosComandos!J26</f>
        <v>HU-BASE-023-Descargar informe de entrenamiento cognitivo</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E5FC-C8DB-4F25-8151-2932561E02A0}">
  <dimension ref="A1:B6"/>
  <sheetViews>
    <sheetView workbookViewId="0">
      <selection activeCell="C1" sqref="C1"/>
    </sheetView>
  </sheetViews>
  <sheetFormatPr defaultColWidth="11.42578125" defaultRowHeight="14.45"/>
  <cols>
    <col min="2" max="2" width="13.7109375" bestFit="1" customWidth="1"/>
  </cols>
  <sheetData>
    <row r="1" spans="1:2" ht="15">
      <c r="A1" t="s">
        <v>239</v>
      </c>
      <c r="B1" t="s">
        <v>240</v>
      </c>
    </row>
    <row r="2" spans="1:2">
      <c r="A2" t="s">
        <v>29</v>
      </c>
      <c r="B2" t="s">
        <v>56</v>
      </c>
    </row>
    <row r="3" spans="1:2">
      <c r="A3" t="s">
        <v>241</v>
      </c>
      <c r="B3" t="s">
        <v>31</v>
      </c>
    </row>
    <row r="4" spans="1:2">
      <c r="B4" t="s">
        <v>39</v>
      </c>
    </row>
    <row r="5" spans="1:2">
      <c r="B5" t="s">
        <v>242</v>
      </c>
    </row>
    <row r="6" spans="1:2">
      <c r="B6" t="s">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1" ma:contentTypeDescription="Crear nuevo documento." ma:contentTypeScope="" ma:versionID="25fd11a1a17d1b8cb394866972d60667">
  <xsd:schema xmlns:xsd="http://www.w3.org/2001/XMLSchema" xmlns:xs="http://www.w3.org/2001/XMLSchema" xmlns:p="http://schemas.microsoft.com/office/2006/metadata/properties" xmlns:ns2="d3168a39-8cd2-49bc-b1c5-42f933dcfd23" targetNamespace="http://schemas.microsoft.com/office/2006/metadata/properties" ma:root="true" ma:fieldsID="3dc67a3c67850591eca2c90353d69125"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30ABC1-FA95-46CD-B8C1-6FEE776143CF}"/>
</file>

<file path=customXml/itemProps2.xml><?xml version="1.0" encoding="utf-8"?>
<ds:datastoreItem xmlns:ds="http://schemas.openxmlformats.org/officeDocument/2006/customXml" ds:itemID="{76889E46-F513-45FD-997E-9D91772950EF}"/>
</file>

<file path=customXml/itemProps3.xml><?xml version="1.0" encoding="utf-8"?>
<ds:datastoreItem xmlns:ds="http://schemas.openxmlformats.org/officeDocument/2006/customXml" ds:itemID="{A1B08C6D-D138-4E1A-A0A7-2A2F62B3CD23}"/>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Juan Jose Restrepo Valencia</cp:lastModifiedBy>
  <cp:revision/>
  <dcterms:created xsi:type="dcterms:W3CDTF">2025-02-19T23:23:21Z</dcterms:created>
  <dcterms:modified xsi:type="dcterms:W3CDTF">2025-07-29T00:02:27Z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0x010100339E364CF2FAC646913FA2F6AF72DBE1</vt:lpwstr>
  </property>
  <property fmtid="{D5CDD505-2E9C-101B-9397-08002B2CF9AE}" pid="5" name="Order">
    <vt:r8>18000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MediaServiceImageTags">
    <vt:lpwstr/>
  </property>
</Properties>
</file>