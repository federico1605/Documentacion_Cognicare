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tmp" ContentType="image/p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0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ciana\Downloads\"/>
    </mc:Choice>
  </mc:AlternateContent>
  <xr:revisionPtr revIDLastSave="6727" documentId="13_ncr:1_{21B9ED60-2C51-4666-ADE3-971729F12D7C}" xr6:coauthVersionLast="47" xr6:coauthVersionMax="47" xr10:uidLastSave="{853BC0FA-16C7-4BC9-BD62-488FEE94D2FF}"/>
  <bookViews>
    <workbookView xWindow="-120" yWindow="-120" windowWidth="20640" windowHeight="11160" firstSheet="17" activeTab="9" xr2:uid="{36012E7C-B3F4-482B-AC16-7CCB81B9AE88}"/>
  </bookViews>
  <sheets>
    <sheet name="Modelo dominio anémico contexto" sheetId="61" r:id="rId1"/>
    <sheet name="Valores" sheetId="69" state="hidden" r:id="rId2"/>
    <sheet name="Listado Objetos de Dominio" sheetId="67" r:id="rId3"/>
    <sheet name="Estudiante" sheetId="66" r:id="rId4"/>
    <sheet name="Entrenador" sheetId="24" r:id="rId5"/>
    <sheet name="Administrador" sheetId="74" r:id="rId6"/>
    <sheet name="Estudiante Programa" sheetId="79" r:id="rId7"/>
    <sheet name="Entrenador Facultad" sheetId="82" r:id="rId8"/>
    <sheet name="Entrenador Entrenamiento" sheetId="83" r:id="rId9"/>
    <sheet name="Entrenamiento Cognitivo" sheetId="72" r:id="rId10"/>
    <sheet name="Asignación Variable Cognitiva" sheetId="73" r:id="rId11"/>
    <sheet name="Sesion Entrenamiento" sheetId="80" r:id="rId12"/>
    <sheet name="Variable Cognitiva" sheetId="78" r:id="rId13"/>
    <sheet name="Tipo Documento" sheetId="75" r:id="rId14"/>
    <sheet name="Programa" sheetId="76" r:id="rId15"/>
    <sheet name="Facultad" sheetId="77" r:id="rId16"/>
    <sheet name="Estado" sheetId="81" r:id="rId17"/>
    <sheet name="Genero" sheetId="71" r:id="rId18"/>
    <sheet name="Objeto Dominio N" sheetId="68" r:id="rId19"/>
  </sheets>
  <definedNames>
    <definedName name="_xlnm._FilterDatabase" localSheetId="2" hidden="1">'Listado Objetos de Dominio'!$A$2:$B$9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4" i="71" l="1"/>
  <c r="C10" i="71"/>
  <c r="Q4" i="77"/>
  <c r="C10" i="77"/>
  <c r="Q4" i="76"/>
  <c r="C13" i="76"/>
  <c r="C12" i="76"/>
  <c r="Q4" i="75"/>
  <c r="C12" i="75"/>
  <c r="C11" i="75"/>
  <c r="Q4" i="78"/>
  <c r="O19" i="78"/>
  <c r="C13" i="78"/>
  <c r="C12" i="78"/>
  <c r="T4" i="80"/>
  <c r="S4" i="80"/>
  <c r="R4" i="80"/>
  <c r="Q4" i="80"/>
  <c r="C16" i="80"/>
  <c r="C15" i="80"/>
  <c r="T4" i="73"/>
  <c r="S4" i="73"/>
  <c r="R4" i="73"/>
  <c r="Q4" i="73"/>
  <c r="C15" i="73"/>
  <c r="C14" i="73"/>
  <c r="V4" i="72"/>
  <c r="U4" i="72"/>
  <c r="T4" i="72"/>
  <c r="V4" i="24"/>
  <c r="U4" i="24"/>
  <c r="C13" i="72"/>
  <c r="S4" i="72"/>
  <c r="R4" i="72"/>
  <c r="Q4" i="72"/>
  <c r="R4" i="83"/>
  <c r="Q4" i="83"/>
  <c r="R4" i="82"/>
  <c r="Q4" i="82"/>
  <c r="R4" i="79"/>
  <c r="Q4" i="79"/>
  <c r="B3" i="79"/>
  <c r="Q4" i="74"/>
  <c r="T4" i="24"/>
  <c r="S4" i="24"/>
  <c r="R4" i="24"/>
  <c r="Q4" i="24"/>
  <c r="T4" i="66"/>
  <c r="S4" i="66"/>
  <c r="R4" i="66"/>
  <c r="Q4" i="66"/>
  <c r="B3" i="83"/>
  <c r="B2" i="83"/>
  <c r="B3" i="82"/>
  <c r="B2" i="82"/>
  <c r="B2" i="79"/>
  <c r="C18" i="24"/>
  <c r="C18" i="66"/>
  <c r="C11" i="81"/>
  <c r="B3" i="81"/>
  <c r="B2" i="81"/>
  <c r="Q4" i="81"/>
  <c r="B3" i="80"/>
  <c r="B2" i="80"/>
  <c r="B3" i="78"/>
  <c r="B2" i="78"/>
  <c r="B13" i="69"/>
  <c r="B14" i="69"/>
  <c r="B15" i="69"/>
  <c r="B12" i="69"/>
  <c r="B11" i="69"/>
  <c r="Q4" i="71"/>
  <c r="B3" i="77"/>
  <c r="B2" i="77"/>
  <c r="B3" i="71"/>
  <c r="B3" i="76"/>
  <c r="B2" i="76"/>
  <c r="B3" i="75"/>
  <c r="B2" i="75"/>
  <c r="B3" i="74"/>
  <c r="B2" i="74"/>
  <c r="B3" i="73"/>
  <c r="B2" i="73"/>
  <c r="B3" i="72"/>
  <c r="B2" i="72"/>
  <c r="B2" i="71"/>
  <c r="B3" i="68"/>
  <c r="B2" i="68"/>
  <c r="T4" i="68"/>
  <c r="S4" i="68"/>
  <c r="R4" i="68"/>
  <c r="Q4" i="68"/>
  <c r="B3" i="24"/>
  <c r="B2" i="24"/>
  <c r="B3" i="66"/>
  <c r="B2" i="66"/>
</calcChain>
</file>

<file path=xl/sharedStrings.xml><?xml version="1.0" encoding="utf-8"?>
<sst xmlns="http://schemas.openxmlformats.org/spreadsheetml/2006/main" count="2387" uniqueCount="674">
  <si>
    <t>Tipo Objeto Dominio</t>
  </si>
  <si>
    <t>Tipo</t>
  </si>
  <si>
    <t>Descripción</t>
  </si>
  <si>
    <t>Propio</t>
  </si>
  <si>
    <t>Cuando el objeto de dominio es parte del contexto actual</t>
  </si>
  <si>
    <t>Referenciado</t>
  </si>
  <si>
    <t>Cuando el objeto de dominio es parte de otro contexto</t>
  </si>
  <si>
    <t>Aplica</t>
  </si>
  <si>
    <t>Cuando el atributo se usa para una función</t>
  </si>
  <si>
    <t>No aplica</t>
  </si>
  <si>
    <t>Cuando el atributo no se usa para una función</t>
  </si>
  <si>
    <t>Filtra/No mostrar</t>
  </si>
  <si>
    <t>Cuando el atributo ayuda en la consulta de un objeto de dominio y el dato se muestra</t>
  </si>
  <si>
    <t>Filtra/Mostrar</t>
  </si>
  <si>
    <t>Cuando el atributo ayuda en la consulta de un objeto de dominio, pero el dato no se muestra</t>
  </si>
  <si>
    <t>Si</t>
  </si>
  <si>
    <t>Afirmación en las cateréticas de un atributo</t>
  </si>
  <si>
    <t>No</t>
  </si>
  <si>
    <t>Negación en las cateréticas de un atributo</t>
  </si>
  <si>
    <t>Componente Centralizador</t>
  </si>
  <si>
    <t>Lectura Crítica</t>
  </si>
  <si>
    <t>Procrastinación</t>
  </si>
  <si>
    <t>Control Inhibitorio</t>
  </si>
  <si>
    <t>Razonamiento Cuantitativo</t>
  </si>
  <si>
    <t>Subdominio/Contexto:</t>
  </si>
  <si>
    <t>Nombre</t>
  </si>
  <si>
    <t>Contexto</t>
  </si>
  <si>
    <t>Estudiante</t>
  </si>
  <si>
    <t>Objeto de dominio correspondiente a los estudiantes registrados en la aplicación Cognicare.</t>
  </si>
  <si>
    <t>Entrenador</t>
  </si>
  <si>
    <t>Objeto de dominio correspondiente a los entrenadores de la aplicación Cognicare</t>
  </si>
  <si>
    <t>Administrador</t>
  </si>
  <si>
    <t>Objeto de dominio correspondiente a los administrador de la aplicación Cognicare</t>
  </si>
  <si>
    <t>Estudiante Programa</t>
  </si>
  <si>
    <t>Objeto de dominio que contiene a los programas por estudiante</t>
  </si>
  <si>
    <t>Entrenador Facultad</t>
  </si>
  <si>
    <t>Objeto de dominio que contiene a los entrenadores por facultad</t>
  </si>
  <si>
    <t>Entrenador Entrenamiento</t>
  </si>
  <si>
    <t>Objeto de dominio que corresponde a la tabla intermedia de la relación de muchos a muchos entre entrenador y entrenamiento cognitivo</t>
  </si>
  <si>
    <t>Entrenamiento Cognitivo</t>
  </si>
  <si>
    <t>Objeto de dominio encargado de contener el plan de entrenamiento que desarrolla el estudiante</t>
  </si>
  <si>
    <t>Sesion Entrenamiento</t>
  </si>
  <si>
    <t>Objeto de dominio que contiene las sesiones de entrenamiento creadas</t>
  </si>
  <si>
    <t>Asignación Variable</t>
  </si>
  <si>
    <t>Objeto de dominio el cual anuncia el estado de las diferentes variables cognitivas a las que el estudiante tiene acceso</t>
  </si>
  <si>
    <t>Variable Cognitiva</t>
  </si>
  <si>
    <t>Objeto de dominio que contiene las diferentes variables cognitivas de la aplicacion</t>
  </si>
  <si>
    <t>Tipo Documento</t>
  </si>
  <si>
    <t>Objeto de dominio que contiene los diferentes documentos de identidad válidos</t>
  </si>
  <si>
    <t>Programa</t>
  </si>
  <si>
    <t>Programa o carrera al que pertenece el estudiante</t>
  </si>
  <si>
    <t>Facultad</t>
  </si>
  <si>
    <t>Facultad a la que pertenece el programa y el entrenador</t>
  </si>
  <si>
    <t>Estado</t>
  </si>
  <si>
    <t>Objeto que contiene los posibles estados que puede tener una variable cognitiva o el entrenamiento cognitivo del estudiante</t>
  </si>
  <si>
    <t>Genero</t>
  </si>
  <si>
    <t>Objeto que contiene el género</t>
  </si>
  <si>
    <t>&lt;-Volver al inicio</t>
  </si>
  <si>
    <t>Objeto de Dominio:</t>
  </si>
  <si>
    <t>Descripción:</t>
  </si>
  <si>
    <t>Atributo</t>
  </si>
  <si>
    <t>Tipo de Dato</t>
  </si>
  <si>
    <t>Longitud mínima</t>
  </si>
  <si>
    <t>Longitud máxima</t>
  </si>
  <si>
    <t>Precisión</t>
  </si>
  <si>
    <t>Rango Inicial</t>
  </si>
  <si>
    <t>Rango Final</t>
  </si>
  <si>
    <t>Formato</t>
  </si>
  <si>
    <t>Valor por defecto</t>
  </si>
  <si>
    <t>Regla especial</t>
  </si>
  <si>
    <t>¿Auto generado?</t>
  </si>
  <si>
    <t>¿Calculado?</t>
  </si>
  <si>
    <t>¿Obligatorio?</t>
  </si>
  <si>
    <t>¿Sensible?</t>
  </si>
  <si>
    <t>¿Identifica al registro?</t>
  </si>
  <si>
    <t>identificador</t>
  </si>
  <si>
    <t>UUID</t>
  </si>
  <si>
    <t>Formato de un identificador único universal (UUID)</t>
  </si>
  <si>
    <t>Es el valor único para identificar el registro del estudiante ingresado en Cognicare</t>
  </si>
  <si>
    <t>nombre</t>
  </si>
  <si>
    <t>String</t>
  </si>
  <si>
    <t>Solo letras y espacios</t>
  </si>
  <si>
    <t>Nombre del estudiante</t>
  </si>
  <si>
    <t>Apellido</t>
  </si>
  <si>
    <t>Apellidos del estudiante</t>
  </si>
  <si>
    <t>tipoDocumento</t>
  </si>
  <si>
    <t>Programa al que pertenece el estudiante</t>
  </si>
  <si>
    <t>numeroDocumento</t>
  </si>
  <si>
    <t>Solo números</t>
  </si>
  <si>
    <t>Número de documento identificador del estudiante</t>
  </si>
  <si>
    <t>genero</t>
  </si>
  <si>
    <t>Género que selecciona el estudiante al ingresar por primera vez a Cognicare</t>
  </si>
  <si>
    <t>fechaNacimiento</t>
  </si>
  <si>
    <t>Date</t>
  </si>
  <si>
    <t>YYYY-MM-DD</t>
  </si>
  <si>
    <t>Fecha de nacimiento del estudiante</t>
  </si>
  <si>
    <t>correo</t>
  </si>
  <si>
    <t>^[a-zA-Z0-9._%+-]+@[a-zA-Z0-9.-]+\.[a-zA-Z]{2,}$</t>
  </si>
  <si>
    <t>Correo electronico del estudiante</t>
  </si>
  <si>
    <t>Combinaciones únicas</t>
  </si>
  <si>
    <t>Nombre combinación</t>
  </si>
  <si>
    <t>Atributos</t>
  </si>
  <si>
    <t>Combinación 1</t>
  </si>
  <si>
    <t>No es posible que dos o más estudiantes tengan el mismo tipo y número de documento</t>
  </si>
  <si>
    <t>Combinación 2</t>
  </si>
  <si>
    <t>No es posible que dos o más estudiantes tengan el mismo correo</t>
  </si>
  <si>
    <t>Responsabilidad</t>
  </si>
  <si>
    <t>Entradas</t>
  </si>
  <si>
    <t>Salida</t>
  </si>
  <si>
    <t>Políticas (Reglas de Negocio)</t>
  </si>
  <si>
    <t>Parámetro</t>
  </si>
  <si>
    <t>Tipo de dato</t>
  </si>
  <si>
    <t>Política</t>
  </si>
  <si>
    <t>Detalle</t>
  </si>
  <si>
    <t>¿Qué hago?</t>
  </si>
  <si>
    <t>Registrar Estudiante</t>
  </si>
  <si>
    <t>Crea un nuevo estudiante en el sistema, asociándolo a sus datos personales y a uno o más programas académicos.</t>
  </si>
  <si>
    <t>siglaTipoDocumento</t>
  </si>
  <si>
    <t>Sigla del tipo de documento (ej: "CC").</t>
  </si>
  <si>
    <t>Object</t>
  </si>
  <si>
    <t>JSON Confirmando el exito del registro</t>
  </si>
  <si>
    <t>RN-Estudiante-01</t>
  </si>
  <si>
    <t>La combinacion de Numero y Tipo de documento debe ser unica</t>
  </si>
  <si>
    <t>Tipo de documento y numero ya existen</t>
  </si>
  <si>
    <t>Retornar Error 409 (conflict)</t>
  </si>
  <si>
    <t>nombreGenero</t>
  </si>
  <si>
    <t>Nombre del género del estudiante.</t>
  </si>
  <si>
    <t>nombres</t>
  </si>
  <si>
    <t>Nombres del estudiante.</t>
  </si>
  <si>
    <t>RN-Estudiante-02</t>
  </si>
  <si>
    <t>El estudiante debe inscribirse en al menos un programa y máximo dos</t>
  </si>
  <si>
    <t>Número de programas inválido</t>
  </si>
  <si>
    <t xml:space="preserve">Mostrar mensaje de error </t>
  </si>
  <si>
    <t>apellidos</t>
  </si>
  <si>
    <t>Apellidos del estudiante.</t>
  </si>
  <si>
    <t>Número de documento del estudiante.</t>
  </si>
  <si>
    <t>RN-Estudiante-03</t>
  </si>
  <si>
    <t>La fecha de nacimiento no puede ser una fecha futura</t>
  </si>
  <si>
    <t>Datos de entrada inválidos</t>
  </si>
  <si>
    <t>Mostrar mensaje de error con la validación</t>
  </si>
  <si>
    <t>Fecha de nacimiento en formato YYYY-MM-DD.</t>
  </si>
  <si>
    <t>Correo electrónico del estudiante.</t>
  </si>
  <si>
    <t>RN-Estudiante-04</t>
  </si>
  <si>
    <t>El formato del correo electrónico debe ser válido.</t>
  </si>
  <si>
    <t>programaNombres</t>
  </si>
  <si>
    <t>Array&lt;String&gt;</t>
  </si>
  <si>
    <t>Lista de nombres de los programas.</t>
  </si>
  <si>
    <t>RN-Estudiante-05</t>
  </si>
  <si>
    <t>Los datos no pueden estar vacíos</t>
  </si>
  <si>
    <t xml:space="preserve">Datos de entrada inválidos
</t>
  </si>
  <si>
    <t xml:space="preserve">Mostrar mensaje de error con la validación
</t>
  </si>
  <si>
    <t>Modificar Informacion de Estudiante</t>
  </si>
  <si>
    <t>Actualiza los datos personales y/o los programas académicos de un estudiante existente.</t>
  </si>
  <si>
    <t>El correo, si se modifica, debe seguir siendo único entre todos los estudiantes.</t>
  </si>
  <si>
    <t>Correo ya existente</t>
  </si>
  <si>
    <t>RN-Estudiante-06</t>
  </si>
  <si>
    <t>Si se modifica la lista de programas, debe contener entre 1 y 2 programas</t>
  </si>
  <si>
    <t>Fecha</t>
  </si>
  <si>
    <t>Consultar Estudiante</t>
  </si>
  <si>
    <t>Obtiene la información completa y detallada de un estudiante, incluyendo sus programas académicos</t>
  </si>
  <si>
    <t>SiglaTipoDocumento</t>
  </si>
  <si>
    <t>JSON con los datos del estudiante</t>
  </si>
  <si>
    <t>RN-Estudiante-07</t>
  </si>
  <si>
    <t>La consulta devuelve un único registro de estudiante o ninguno.</t>
  </si>
  <si>
    <t>Estudiante no encontrado</t>
  </si>
  <si>
    <t>Retornar un error 404 y el mensaje</t>
  </si>
  <si>
    <t>Actualizar Genero Estudiante</t>
  </si>
  <si>
    <t>Modifica únicamente el campo de género de un estudiante existente, identificado por su UUID.</t>
  </si>
  <si>
    <t>id</t>
  </si>
  <si>
    <t>ID único del estudiante.</t>
  </si>
  <si>
    <t>Objeto JSON que confirma la actualización.</t>
  </si>
  <si>
    <t>Valor único para identificar el registro del entrenador en Cognicare</t>
  </si>
  <si>
    <t>Nombre del entrenador</t>
  </si>
  <si>
    <t>apellido</t>
  </si>
  <si>
    <t>Apellidos del entrenador</t>
  </si>
  <si>
    <t>Atributo que permite identificar el tipo de documento que tiene un estudiante, sea de cedula o tarjeta de identidad</t>
  </si>
  <si>
    <t>Número de documento identificador del entrenador</t>
  </si>
  <si>
    <t>fechaInicio</t>
  </si>
  <si>
    <t>Fecha Actual</t>
  </si>
  <si>
    <t>Fecha de inicio de actividad del entrenador en Cognicare</t>
  </si>
  <si>
    <t>fechaFinal</t>
  </si>
  <si>
    <t>Fecha Actual + 6 meses</t>
  </si>
  <si>
    <t>Fecha final de actividad del entrenador en Cognicare</t>
  </si>
  <si>
    <t>No es posible que dos o más entrenadores tengan el mismo tipo de documento y número de documento</t>
  </si>
  <si>
    <t>No es posible que dos o más entrenadores tengan el mismo correo</t>
  </si>
  <si>
    <t>Excepción</t>
  </si>
  <si>
    <t>Registrar Nuevo Entrenador</t>
  </si>
  <si>
    <t>Crea un nuevo usuario con rol de Entrenador. Esta operación solo puede ser realizada por un Administrador.</t>
  </si>
  <si>
    <t>Objeto JSON que confirma el éxito del registro.</t>
  </si>
  <si>
    <t>RN-Entrenador-01</t>
  </si>
  <si>
    <t>La operación solo puede ser realizada por un usuario con rol de Admin.</t>
  </si>
  <si>
    <t>Token inválido o sin rol de Admin</t>
  </si>
  <si>
    <t>No permitirrealizar el registro</t>
  </si>
  <si>
    <t>Número de documento del nuevo entrenador.</t>
  </si>
  <si>
    <t>RN-Entrenador-02</t>
  </si>
  <si>
    <t>Tipo y número de documendo únicos</t>
  </si>
  <si>
    <t>Tipo y numero de documento ya existente</t>
  </si>
  <si>
    <t>Mostrar un mensaje de error</t>
  </si>
  <si>
    <t>Nombres del entrenador.</t>
  </si>
  <si>
    <t>RN-Entrenador-03</t>
  </si>
  <si>
    <t>Correo debe ser único</t>
  </si>
  <si>
    <t>Mostrar mensaje de error</t>
  </si>
  <si>
    <t>Apellidos del entrenador.</t>
  </si>
  <si>
    <t>RN-Entrenador-04</t>
  </si>
  <si>
    <t>Se debe asignar al menos una facultad al entrenador</t>
  </si>
  <si>
    <t>Datos de entrada invalidos</t>
  </si>
  <si>
    <t>Correo electrónico del entrenador.</t>
  </si>
  <si>
    <t>facultadNombres</t>
  </si>
  <si>
    <t>Lista de los nombres de las facultades a las que se asociará.</t>
  </si>
  <si>
    <t>RN-Entrenador-05</t>
  </si>
  <si>
    <t>Los datos del entrenador no deben ser vacíos</t>
  </si>
  <si>
    <t>fechaFin</t>
  </si>
  <si>
    <t>(Opcional) Fecha de finalización del contrato.</t>
  </si>
  <si>
    <t>Modificar Información</t>
  </si>
  <si>
    <t>Actualiza los datos personales y/o las facultades de un entrenador existente. Solo para Administradores.</t>
  </si>
  <si>
    <t>entrenadorId</t>
  </si>
  <si>
    <t>ID único del entrenador a modificar.</t>
  </si>
  <si>
    <t>Objeto JSON que confirma el éxito de la actualización</t>
  </si>
  <si>
    <t>No permitir realizar la actualización</t>
  </si>
  <si>
    <t>nuevosNombres</t>
  </si>
  <si>
    <t>(Opcional) Nuevos nombres</t>
  </si>
  <si>
    <t>nuevosApellidos</t>
  </si>
  <si>
    <t>(Opcional) Nuevos apellidos.</t>
  </si>
  <si>
    <t>RN-Entrenador-06</t>
  </si>
  <si>
    <t>El correo, si se modifica, debe seguir siendo único.</t>
  </si>
  <si>
    <t>nuevoCorreo</t>
  </si>
  <si>
    <t>(Opcional) Nuevo correo.</t>
  </si>
  <si>
    <t>Entrenador no encontrado</t>
  </si>
  <si>
    <t>Retornar un error 404 Not Found</t>
  </si>
  <si>
    <t>nuevaFechaFin</t>
  </si>
  <si>
    <t>(Opcional) Nueva fecha de fin de contrato.</t>
  </si>
  <si>
    <t>RN-Entrenador-07</t>
  </si>
  <si>
    <t>La nueva lista de facultades reemplaza completamente a la anterior.</t>
  </si>
  <si>
    <t>Retornar un error 400 Bad Request.</t>
  </si>
  <si>
    <t>nuevosNombresFacultades</t>
  </si>
  <si>
    <t>(Opcional) Lista completa que reemplaza las facultades anteriores.</t>
  </si>
  <si>
    <t>Error inesperado del servidor</t>
  </si>
  <si>
    <t>Retornar un error 500 Internal Server Error</t>
  </si>
  <si>
    <t>Desactivar Entrenador</t>
  </si>
  <si>
    <t>Marca a un entrenador como inactivo, estableciendo su fecha de fin de contrato al día actual. Solo para Administradores.</t>
  </si>
  <si>
    <t>entrenadorID</t>
  </si>
  <si>
    <t>ID único del entrenador a desactivar.</t>
  </si>
  <si>
    <t>Objeto JSON que confirma la desactivación.</t>
  </si>
  <si>
    <t>RN-Entrenador-08</t>
  </si>
  <si>
    <t>La desactivación se logra actualizando el campo fechaFin a la fecha actual.</t>
  </si>
  <si>
    <t>Retornar un error 401 Unauthorized o 403 Forbidden.</t>
  </si>
  <si>
    <t>Listar Entrenadores</t>
  </si>
  <si>
    <t>Obtiene una lista de todos los entrenadores registrados en el sistema. Solo para Administradores.</t>
  </si>
  <si>
    <t>nombreFacultad</t>
  </si>
  <si>
    <t>(Opcional) Filtra la lista por el nombre de una facultad.</t>
  </si>
  <si>
    <t>Objeto JSON que contiene la lista de entrenadores.</t>
  </si>
  <si>
    <t>Retornar un error 401 Unauthorized o 403 Forbidden</t>
  </si>
  <si>
    <t>Autenticar Entrenador</t>
  </si>
  <si>
    <t>alida las credenciales de un entrenador (correo y documento) y genera un token de acceso JWT.</t>
  </si>
  <si>
    <t>Objeto JSON que confirma el éxito de la autenticación</t>
  </si>
  <si>
    <t>RN-Entrenador-09</t>
  </si>
  <si>
    <t>El entrenador debe existir, estar activo y las credenciales deben coincidir</t>
  </si>
  <si>
    <t>Faltan datos</t>
  </si>
  <si>
    <t>Mostrar un mensaje con los datos faltantes</t>
  </si>
  <si>
    <t>Número de documento del entrenador, usado como credencial.</t>
  </si>
  <si>
    <t>Credenciales inválidas o entrenador inactivo</t>
  </si>
  <si>
    <t>Mostrar un mensaje 401 Unauthorized</t>
  </si>
  <si>
    <t>Asignar a Entrenamiento</t>
  </si>
  <si>
    <t>Crea una relación entre un entrenador y un entrenamiento cognitivo ya existentes.</t>
  </si>
  <si>
    <t>ID del entrenador a asignar.</t>
  </si>
  <si>
    <t>Objeto JSON que confirma la creación de la relación.</t>
  </si>
  <si>
    <t>El entrenadorId y entrenamientoCognitivoId deben ser UUIDs válidos y existir.</t>
  </si>
  <si>
    <t>Entrenador o Entrenamiento no encontrado</t>
  </si>
  <si>
    <t>entrenamientoCognitivoId</t>
  </si>
  <si>
    <t>ID del entrenamiento cognitivo al que se asignará.</t>
  </si>
  <si>
    <t>Relación ya existe</t>
  </si>
  <si>
    <t>Retornar un error 409 Conflict</t>
  </si>
  <si>
    <t>La relación entre el entrenador y el entrenamiento debe ser única.</t>
  </si>
  <si>
    <t>Identificador</t>
  </si>
  <si>
    <t>Valor único que identifica al administrador de la aplicación Cognicare</t>
  </si>
  <si>
    <t>Nombres</t>
  </si>
  <si>
    <t>Solo letras y espacio</t>
  </si>
  <si>
    <t>Nombre del administrador</t>
  </si>
  <si>
    <t>Apellidos</t>
  </si>
  <si>
    <t>Apellidos del administrador</t>
  </si>
  <si>
    <t>Tipo de documento del administrador</t>
  </si>
  <si>
    <t>Numero Documento</t>
  </si>
  <si>
    <t>Número de documento del administrador</t>
  </si>
  <si>
    <t>Fecha Inicio</t>
  </si>
  <si>
    <t>Fecha de inicio del administrador</t>
  </si>
  <si>
    <t>Fecha Fin</t>
  </si>
  <si>
    <t>Fecha de fin del administrador</t>
  </si>
  <si>
    <t>No pueden haber dos o más administradores con el mismo tipo y numero de documento</t>
  </si>
  <si>
    <t>Autenticar Administrador</t>
  </si>
  <si>
    <t>Valida las credenciales de un administrador para concederle acceso al sistema con privilegios elevados.</t>
  </si>
  <si>
    <t>Número de documento del administrador, que funciona como su credencial de acceso.</t>
  </si>
  <si>
    <t>Objeto JSON que contiene el token de acceso y la información del usuario</t>
  </si>
  <si>
    <t>RN-Admin-01</t>
  </si>
  <si>
    <t>El numeroDocumento debe coincidir con un registro en la tabla CC.Administrador</t>
  </si>
  <si>
    <t>Credenciales inválidas</t>
  </si>
  <si>
    <t>Retornar un error con credenciales invalidas o admin desactivado</t>
  </si>
  <si>
    <t>RN-Admin-02</t>
  </si>
  <si>
    <t>El contrato del administrador debe estar activo (fechaFin &gt; fecha actual).</t>
  </si>
  <si>
    <t>RN-Admin-03</t>
  </si>
  <si>
    <t>El token generado debe contener el ID del administrador y el rol "admin".</t>
  </si>
  <si>
    <t>Alfanumérico</t>
  </si>
  <si>
    <t>Solo Números</t>
  </si>
  <si>
    <t>Valor único que identifica el registro</t>
  </si>
  <si>
    <t>Estudiante que pertenece al programa</t>
  </si>
  <si>
    <t>No es posible que un estudiante esté dos o más veces en el mismo programa</t>
  </si>
  <si>
    <r>
      <rPr>
        <b/>
        <sz val="11"/>
        <color rgb="FF000000"/>
        <rFont val="Calibri"/>
        <scheme val="minor"/>
      </rPr>
      <t xml:space="preserve">NOTA: </t>
    </r>
    <r>
      <rPr>
        <sz val="11"/>
        <color rgb="FF000000"/>
        <rFont val="Calibri"/>
        <scheme val="minor"/>
      </rPr>
      <t>Estudiante Programa es un objeto que actua de enlace entre Estudiante y Programa, su ciclo de vida ocurre dentro de las operaciones de la entidad Estudiante</t>
    </r>
  </si>
  <si>
    <t>Asociar Programa(s)</t>
  </si>
  <si>
    <t>Crea uno o más registros en la tabla EstudiantePrograma para vincular a un estudiante recién creado con sus programas académicos.</t>
  </si>
  <si>
    <t>estudianteId</t>
  </si>
  <si>
    <t>El ID del estudiante recién creado (Acción en base de datos)</t>
  </si>
  <si>
    <t>RN-EstudiantePrograma-01</t>
  </si>
  <si>
    <t>La asociación es única: un estudiante no puede estar inscrito dos veces en el mismo programa.</t>
  </si>
  <si>
    <t>Asociación duplicada</t>
  </si>
  <si>
    <t>La base de datos retorna un error de Unique Violation. La transacción no continua</t>
  </si>
  <si>
    <t>Lista de nombres de los programas a asociar.</t>
  </si>
  <si>
    <t>RN-EstudiantePrograma-02</t>
  </si>
  <si>
    <t>Cada nombre de programa en la lista debe corresponder a un programa existente en la tabla Programa.</t>
  </si>
  <si>
    <t>Programa no encontrado</t>
  </si>
  <si>
    <t>La transacción principal en base de datos falla, lo que no permite hacer el registro</t>
  </si>
  <si>
    <t>RN-EstudiantePrograma-03</t>
  </si>
  <si>
    <t>Un estudiante debe estar asociado a un mínimo de 1 y un máximo de 2 programas.</t>
  </si>
  <si>
    <t>La transacción principal falla, lo que no permite hacer el registro</t>
  </si>
  <si>
    <t>Modificar Asociaciones (Durante la Actualización de Estudiante)</t>
  </si>
  <si>
    <t>Reemplaza por completo la lista de programas a los que está asociado un estudiante.</t>
  </si>
  <si>
    <t>El ID del estudiante que se está modificando.</t>
  </si>
  <si>
    <t>RN-EstudiantePrograma-04</t>
  </si>
  <si>
    <t>La nueva lista de programas debe cumplir con la regla de mínimo 1 y máximo 2 programas.</t>
  </si>
  <si>
    <t>La transacción no permite hacer el cambio</t>
  </si>
  <si>
    <t>La nueva lista completa de nombres de programas a asociar.</t>
  </si>
  <si>
    <t>entrenador</t>
  </si>
  <si>
    <t>Entrenador que pertenece a la facultad</t>
  </si>
  <si>
    <t>facultad</t>
  </si>
  <si>
    <t>Facultad a la que pertenece el entrenador</t>
  </si>
  <si>
    <t>No es posible que un entrenador este asignado dos o más veces en la misma facultad</t>
  </si>
  <si>
    <r>
      <rPr>
        <b/>
        <sz val="11"/>
        <color rgb="FF000000"/>
        <rFont val="Calibri"/>
        <scheme val="minor"/>
      </rPr>
      <t xml:space="preserve">NOTA: </t>
    </r>
    <r>
      <rPr>
        <sz val="11"/>
        <color rgb="FF000000"/>
        <rFont val="Calibri"/>
        <scheme val="minor"/>
      </rPr>
      <t>Entrenador Facultad es un objeto que actua de enlace entre Entrenador y Facultad, su ciclo de vida ocurre dentro de las operaciones de la entidad Entrenador</t>
    </r>
  </si>
  <si>
    <t>Asociar Facultad(es)</t>
  </si>
  <si>
    <t>Crea uno o más registros en la tabla EntrenadorFacultad para vincular a un entrenador recién creado con sus facultades asignadas</t>
  </si>
  <si>
    <t>El ID del entrenador recién creado.</t>
  </si>
  <si>
    <t>RN-Entrenador Facultad-01</t>
  </si>
  <si>
    <t>La asociación es única: un entrenador no puede estar asignado dos veces a la misma facultad.</t>
  </si>
  <si>
    <t>Lista de nombres de las facultades a asociar.</t>
  </si>
  <si>
    <t>RN-Entrenador Facultad-02</t>
  </si>
  <si>
    <t>Cada nombre de facultad en la lista debe corresponder a una facultad existente en la tabla Facultad.</t>
  </si>
  <si>
    <t>Facultad no encontrada</t>
  </si>
  <si>
    <t>RN-Entrenador Facultad-03</t>
  </si>
  <si>
    <t>Un entrenador debe estar asociado al menos a una facultad.</t>
  </si>
  <si>
    <t>Lista de facultades vacía</t>
  </si>
  <si>
    <t>Modificar Asociaciones</t>
  </si>
  <si>
    <t>Reemplaza por completo la lista de facultades a las que está asociado un entrenador.</t>
  </si>
  <si>
    <t>El ID del entrenador que se está modificando</t>
  </si>
  <si>
    <t>RN-Entrenador Facultad-04</t>
  </si>
  <si>
    <t>La nueva lista de facultades debe contener nombres válidos.</t>
  </si>
  <si>
    <t>La nueva lista completa de nombres de facultades a asociar.</t>
  </si>
  <si>
    <t>Entrenador que supervisa el entrenamiento cognitivo</t>
  </si>
  <si>
    <t>entrenamientoCognitivo</t>
  </si>
  <si>
    <t>Entrenamiento cognitivo sueprvisado por el entrenador</t>
  </si>
  <si>
    <t>No es posible que un entrenador supervise dos o más veces el mismo entrenamiento cognitivo</t>
  </si>
  <si>
    <r>
      <rPr>
        <b/>
        <sz val="11"/>
        <color rgb="FF000000"/>
        <rFont val="Calibri"/>
        <scheme val="minor"/>
      </rPr>
      <t xml:space="preserve">NOTA: </t>
    </r>
    <r>
      <rPr>
        <sz val="11"/>
        <color rgb="FF000000"/>
        <rFont val="Calibri"/>
        <scheme val="minor"/>
      </rPr>
      <t>Entrenador Entrenamiento es un objeto que actua de enlace entre Entrenador y Entrenamiento Cognitivo, su ciclo de vida ocurre dentro de las operaciones de la Entrenamiento Cognitivo</t>
    </r>
  </si>
  <si>
    <t>Asociar Entrenador</t>
  </si>
  <si>
    <t>Crea un registro en la tabla EntrenadorEntrenamiento para asignar un entrenador a un plan de entrenamiento cognitivo recién creado.</t>
  </si>
  <si>
    <t>RN-Entrenador Entrenamiento-01</t>
  </si>
  <si>
    <t>La asociación es única: un entrenador no puede estar asignado dos veces al mismo entrenamiento cognitivo.</t>
  </si>
  <si>
    <t>El ID del entrenamiento recién creado.</t>
  </si>
  <si>
    <t>RN-Entrenador Entrenamiento-02</t>
  </si>
  <si>
    <t>El entrenador y el entrenamiento cognitivo deben existir en sus respectivas tablas.</t>
  </si>
  <si>
    <t>La base de datos no deja continuar con la transacción.</t>
  </si>
  <si>
    <t>RN-Entrenador Entrenamiento-03</t>
  </si>
  <si>
    <t>La operación de creación principal solo puede ser realizada por un rol autorizado.</t>
  </si>
  <si>
    <t>Rol no autorizado</t>
  </si>
  <si>
    <t>La transacción principal no permite hacer el registro</t>
  </si>
  <si>
    <t>Modificar Asociación</t>
  </si>
  <si>
    <t>Cambia el entrenador asignado a un entrenamiento cognitivo existente.</t>
  </si>
  <si>
    <t>El ID del entrenamiento que se está modificando.</t>
  </si>
  <si>
    <t>nuevoEntrenadorId</t>
  </si>
  <si>
    <t>El ID del nuevo entrenador a asignar.</t>
  </si>
  <si>
    <t>Valor único para identificar el registro del entrenamiento cognitivo</t>
  </si>
  <si>
    <t>estudiante</t>
  </si>
  <si>
    <t>Estudiante que ejecuta el entrenamiento cognitivo</t>
  </si>
  <si>
    <t>Fecha en la que se inicia el entrenamiento cognitivo</t>
  </si>
  <si>
    <t>Fecha en la que finaliza el entrenamiento cognitivo</t>
  </si>
  <si>
    <t>estado</t>
  </si>
  <si>
    <t>Estado actual del entrenamiento cognitivo</t>
  </si>
  <si>
    <t>No es posible que dos o más entrenamientos tengan al mismo estudiante</t>
  </si>
  <si>
    <t>Crear Entrenamiento</t>
  </si>
  <si>
    <t xml:space="preserve">	
Crea un nuevo plan de entrenamiento para un estudiante, asignando un entrenador y un conjunto inicial de variables cognitivas.</t>
  </si>
  <si>
    <t>siglaTipoDocEstudiante</t>
  </si>
  <si>
    <t>Sigla del tipo de documento del estudiante</t>
  </si>
  <si>
    <t>Objeto JSON que confirma la creación del entrenamiento.</t>
  </si>
  <si>
    <t>RN-Entrenamiento Cognitivo-01</t>
  </si>
  <si>
    <t>La operación solo puede ser realizada por un rol autorizado</t>
  </si>
  <si>
    <t>Retornar un error 401 Unauthorized o Forbidden.</t>
  </si>
  <si>
    <t>numeroDocEstudiante</t>
  </si>
  <si>
    <t>RN-Entrenamiento Cognitivo-02</t>
  </si>
  <si>
    <t>Un estudiante solo puede tener un entrenamiento cognitivo a la vez</t>
  </si>
  <si>
    <t>Estudiante ya tiene entrenamiento</t>
  </si>
  <si>
    <t>siglaTipoDocEntrenador</t>
  </si>
  <si>
    <t>Sigla del tipo de documento del entrenador</t>
  </si>
  <si>
    <t>RN-Entrenamiento Cognitivo-03</t>
  </si>
  <si>
    <t>El estudiante, el entrenador y todas las variables cognitivas deben existir.</t>
  </si>
  <si>
    <t>Entidad no encontrada</t>
  </si>
  <si>
    <t>No permitir continuar la transacción, 404 Not Found</t>
  </si>
  <si>
    <t>numeroDocEntrenador</t>
  </si>
  <si>
    <t>Número de documento del entrenador.</t>
  </si>
  <si>
    <t>RN-Entrenamiento Cognitivo-04</t>
  </si>
  <si>
    <t>Se debe especificar al menos una variable cognitiva para el entrenamiento.</t>
  </si>
  <si>
    <t>Bad Request</t>
  </si>
  <si>
    <t>fechaFinEntrenamiento</t>
  </si>
  <si>
    <t>Fecha de finalización programada para el entrenamiento.</t>
  </si>
  <si>
    <t>variablesCognitivas</t>
  </si>
  <si>
    <t>Lista de nombres de las variables a entrenar.</t>
  </si>
  <si>
    <t>Modificar Entrenamientonto</t>
  </si>
  <si>
    <t>Actualiza un entrenamiento existente, permitiendo añadir/quitar variables, cambiar al entrenador o extender la fecha de fin.</t>
  </si>
  <si>
    <t>RN-Entrenamiento Cognitivo-05</t>
  </si>
  <si>
    <t>El entrenamiento solo puede modificarse si su estado es "Por Iniciar" o "En Progreso".</t>
  </si>
  <si>
    <t>variablesAAgregar</t>
  </si>
  <si>
    <t>(Opcional) Lista de nombres de variables a añadir.</t>
  </si>
  <si>
    <t>RN-Entrenamiento Cognitivo-06</t>
  </si>
  <si>
    <t>No se puede dejar un entrenamiento sin variables cognitivas asignadas</t>
  </si>
  <si>
    <t>variablesARemover</t>
  </si>
  <si>
    <t>(Opcional) Lista de nombres de variables a quitar.</t>
  </si>
  <si>
    <t>RN-Entrenamiento Cognitivo-07</t>
  </si>
  <si>
    <t>Las variables a remover no deben estar en un estado final ("Finalizado", "Abandono").</t>
  </si>
  <si>
    <t>siglaTipoDocNuevoEntrenador</t>
  </si>
  <si>
    <t>(Opcional) Sigla del documento del nuevo entrenador.</t>
  </si>
  <si>
    <t>numeroDocNuevoEntrenador</t>
  </si>
  <si>
    <t>(Opcional) Número de documento del nuevo entrenador.</t>
  </si>
  <si>
    <t>nuevaFechaFinEntrenamiento</t>
  </si>
  <si>
    <t>(Opcional) Nueva fecha de fin del entrenamiento.</t>
  </si>
  <si>
    <t>Consultar Detalle</t>
  </si>
  <si>
    <t>Obtiene los detalles de un entrenamiento cognitivo para un estudiante específico, incluyendo el estado de cada variable asignada.</t>
  </si>
  <si>
    <t>Sigla del tipo de documento del estudiante.</t>
  </si>
  <si>
    <t>RN-Entrenamiento Cognitivo-08</t>
  </si>
  <si>
    <t>El entrenamiento cognitivo debe existir</t>
  </si>
  <si>
    <t>Entrenamiento no encontrado</t>
  </si>
  <si>
    <t>Retornar un 200 OK con un mensaje indicando que no se encontró entrenamiento y un array de datos vacío.</t>
  </si>
  <si>
    <t>Finalizar Sesión</t>
  </si>
  <si>
    <t>Marca una sesión como "Finalizada" y actualiza las métricas y el nivel del estudiante para esa variable.</t>
  </si>
  <si>
    <t>idSesion</t>
  </si>
  <si>
    <t>ID de la sesión de entrenamiento a finalizar.</t>
  </si>
  <si>
    <t>Objeto JSON que confirma la finalización.</t>
  </si>
  <si>
    <t>nuevasMetricas</t>
  </si>
  <si>
    <t>Objeto JSON con las métricas de rendimiento de la sesión.</t>
  </si>
  <si>
    <t>RN-Entrenamiento Cognitivo-09</t>
  </si>
  <si>
    <t>La sesión debe existir y estar en estado "En Progreso"</t>
  </si>
  <si>
    <t>Sesión no encontrada o en estado incorrecto</t>
  </si>
  <si>
    <t>Retornar un error 404 Not Found o 400 Bad Request.</t>
  </si>
  <si>
    <t>nuevoNivelInicial</t>
  </si>
  <si>
    <t>Objeto JSON con el nuevo estado/nivel del estudiante tras la sesión.</t>
  </si>
  <si>
    <t>RN-Entrenamiento Cognitivo-10</t>
  </si>
  <si>
    <t>Los objetos nuevasMetricas y nuevoNivelInicial deben ser JSON válidos.</t>
  </si>
  <si>
    <t>Retornar un error 400 Bad Request</t>
  </si>
  <si>
    <t>Finalizar Asignación</t>
  </si>
  <si>
    <t xml:space="preserve">	
Marca una asignación de variable completa como "Finalizada". Esto puede desencadenar la finalización del entrenamiento general.</t>
  </si>
  <si>
    <t>idAsignacion</t>
  </si>
  <si>
    <t>ID de la asignación de variable a finalizar.</t>
  </si>
  <si>
    <t>La asignación de variable debe existir y estar en estado "En Progreso".</t>
  </si>
  <si>
    <t>Asignación no encontrada o en estado incorrecto</t>
  </si>
  <si>
    <t>RN-Entrenamiento Cognitivo-11</t>
  </si>
  <si>
    <t>Si todas las variables activas están finalizadas, el estado del EntrenamientoCognitivo padre se actualiza a "Finalizado"</t>
  </si>
  <si>
    <t>Consultar Progreso</t>
  </si>
  <si>
    <t>Obtiene el detalle completo del progreso de una variable asignada, incluyendo métricas y el historial de todas sus sesiones.</t>
  </si>
  <si>
    <t>asignacionId</t>
  </si>
  <si>
    <t>ID de la asignación de la variable a consultar.</t>
  </si>
  <si>
    <t>Objeto JSON con los datos del progreso.</t>
  </si>
  <si>
    <t>RN-Entrenamiento Cognitivo-12</t>
  </si>
  <si>
    <t>La consulta se realiza contra la vista ProgresoVariableUV</t>
  </si>
  <si>
    <t>Asignación no encontrada</t>
  </si>
  <si>
    <t>Atributo el cual hace referencia al entrenamiento cognitivo al cual un estudiante esta registrado</t>
  </si>
  <si>
    <t>tipoVariableCognitiva</t>
  </si>
  <si>
    <t>Tipo de variable cognitiva asignada al entrenamiento cognitivo</t>
  </si>
  <si>
    <t>progreso</t>
  </si>
  <si>
    <t>JSON</t>
  </si>
  <si>
    <t>Formato con la tarea y el nivel realizado en la última sesión</t>
  </si>
  <si>
    <t>Atributo que representa el estado en el que se encuentra cada uno de los módulos de la aplicación</t>
  </si>
  <si>
    <t>metricas</t>
  </si>
  <si>
    <t>Formato con la tarea, nivel, numero de aciertos, numero de errores y el estado</t>
  </si>
  <si>
    <t>Resultados generados por las variables cognitivas asignadas</t>
  </si>
  <si>
    <t>estadoVariableCognitiva</t>
  </si>
  <si>
    <t>En Progreso</t>
  </si>
  <si>
    <t>Estado de la variable cognitiva</t>
  </si>
  <si>
    <t>Una variable cognitiva no puede estar asignada dos o más veces a un entrenamiento cognitivo</t>
  </si>
  <si>
    <t>Crear Asignación</t>
  </si>
  <si>
    <t>Crea uno o más registros en AsignacionVariable para vincular un entrenamiento con las variables cognitivas seleccionadas.</t>
  </si>
  <si>
    <t>RN-Asignacion-01</t>
  </si>
  <si>
    <t>La asociación es única: un entrenamiento no puede tener la misma variable cognitiva asignada dos veces.</t>
  </si>
  <si>
    <t>Asignación duplicada</t>
  </si>
  <si>
    <t>La base de datos retorna un error de unique violation.</t>
  </si>
  <si>
    <t>Lista de nombres de las variables a asignar</t>
  </si>
  <si>
    <t>RN-Asignacion-02</t>
  </si>
  <si>
    <t>Cada variable cognitiva debe existir y estar activa en la tabla VariableCognitiva.</t>
  </si>
  <si>
    <t>Variable no encontrada o inactiva</t>
  </si>
  <si>
    <t>La función de la base de datos no permite hacer la transacción.</t>
  </si>
  <si>
    <t>RN-Asignacion-03</t>
  </si>
  <si>
    <t>La asignación se crea con el estado "Por Iniciar".</t>
  </si>
  <si>
    <t>Abandonar Asignación</t>
  </si>
  <si>
    <t>Cambia el estado de una asignación de variable a "Abandono".</t>
  </si>
  <si>
    <t>siglaDocumento</t>
  </si>
  <si>
    <t>Objeto JSON que confirma el abandono.</t>
  </si>
  <si>
    <t>RN-Asignacion-04</t>
  </si>
  <si>
    <t>Requiere un token de usuario autenticado.</t>
  </si>
  <si>
    <t>Token inválido</t>
  </si>
  <si>
    <t>Retornar un error 401 Unauthorized.</t>
  </si>
  <si>
    <t>RN-Asignacion-05</t>
  </si>
  <si>
    <t>El entrenamiento del estudiante debe estar en estado "Por Iniciar" o "En Progreso"</t>
  </si>
  <si>
    <t>Entrenamiento no modificable</t>
  </si>
  <si>
    <t>idVariableCognitiva</t>
  </si>
  <si>
    <t>ID de la variable cognitiva cuya asignación se abandonará.</t>
  </si>
  <si>
    <t>RN-Asignacion-06</t>
  </si>
  <si>
    <t>Si todas las variables de un entrenamiento están en "Abandono", el entrenamiento padre también se marca como "Abandono"</t>
  </si>
  <si>
    <t>Reactivar Asignación</t>
  </si>
  <si>
    <t>Cambia el estado de una asignación de "Abandono" de nuevo a "Por Iniciar".</t>
  </si>
  <si>
    <t>Objeto JSON que confirma la reactivación.</t>
  </si>
  <si>
    <t>RN-Asignacion-07</t>
  </si>
  <si>
    <t>La asignación de variable debe existir y estar en estado "Abandono"</t>
  </si>
  <si>
    <t>Asignación no está abandonada</t>
  </si>
  <si>
    <t>ID de la variable cognitiva cuya asignación se reactivará.</t>
  </si>
  <si>
    <t>RN-Asignacion-08</t>
  </si>
  <si>
    <t xml:space="preserve"> Si el entrenamiento padre estaba en "Abandono", se reactiva a "Por Iniciar".</t>
  </si>
  <si>
    <t>Marca una asignación de variable como "Finalizada", indicando que el estudiante completó el entrenamiento para esa variable.</t>
  </si>
  <si>
    <t xml:space="preserve">	
Objeto JSON que confirma la finalización</t>
  </si>
  <si>
    <t>RN-Asignacion-09</t>
  </si>
  <si>
    <t>Si todas las variables activas están finalizadas, el estado del EntrenamientoCognitivo padre se actualiza a "Finalizado".</t>
  </si>
  <si>
    <t>Formato de Identificador Único Universal (UUID)</t>
  </si>
  <si>
    <t>Valor único que identifica a la sesion de entrenamiwento</t>
  </si>
  <si>
    <t>asignacionVariable</t>
  </si>
  <si>
    <t>Variable a la cual se creo la sesion de entrenamiento</t>
  </si>
  <si>
    <t>numeroSesion</t>
  </si>
  <si>
    <t>Solo numeros</t>
  </si>
  <si>
    <t>Numero de la sesion de entrenamiento</t>
  </si>
  <si>
    <t>YYYY-MM-DD HH:mm:ss</t>
  </si>
  <si>
    <t>Fecha de inicio de la sesion seleccionada por el entrenador</t>
  </si>
  <si>
    <t>Fecha de finalizacion de la sesion</t>
  </si>
  <si>
    <t>observacion</t>
  </si>
  <si>
    <t>Campo libre para las observaciones que realice el entrenador durante la sesión de entrenamiento</t>
  </si>
  <si>
    <t>Por Iniciar</t>
  </si>
  <si>
    <t>Estado de la sesion de entrenamiento</t>
  </si>
  <si>
    <t>No puede haber dos o más sesiones con el mismo numero de sesion</t>
  </si>
  <si>
    <t>Crear Sesión</t>
  </si>
  <si>
    <t>Agenda una nueva sesión de trabajo para un estudiante en una variable cognitiva específica.</t>
  </si>
  <si>
    <t>Objeto JSON que confirma la creación de la sesión.</t>
  </si>
  <si>
    <t>RN-Sesion-01</t>
  </si>
  <si>
    <t xml:space="preserve">La operación solo puede ser realizada por un rol autorizado </t>
  </si>
  <si>
    <t>Retornar un error 401 o 403</t>
  </si>
  <si>
    <t>RN-Sesion-02</t>
  </si>
  <si>
    <t>El entrenamiento general y la asignación de variable del estudiante deben estar en un estado que permita nuevas sesiones ("Por Iniciar" o "En Progreso").</t>
  </si>
  <si>
    <t>Entrenamiento/Asignación no modificable</t>
  </si>
  <si>
    <t>nombreVariableCognitiva</t>
  </si>
  <si>
    <t>Nombre de la variable para la cual se crea la sesión.</t>
  </si>
  <si>
    <t>RN-Sesion-03</t>
  </si>
  <si>
    <t>La sesión se crea con un estado por defecto de "Por Iniciar".</t>
  </si>
  <si>
    <t>Estudiante o Asignación de Variable no encontrados</t>
  </si>
  <si>
    <t>Fecha y hora de inicio de la sesión</t>
  </si>
  <si>
    <t>RN-Sesion-04</t>
  </si>
  <si>
    <t>El número de sesión es autoincremental para esa variable específica.</t>
  </si>
  <si>
    <t>Iniciar Sesión</t>
  </si>
  <si>
    <t>Cambia el estado de una sesión de "Por Iniciar" a "En Progreso".</t>
  </si>
  <si>
    <t>ID de la sesión a iniciar.</t>
  </si>
  <si>
    <t>Objeto JSON que confirma el inicio de la sesión.</t>
  </si>
  <si>
    <t>RN-Sesion-05</t>
  </si>
  <si>
    <t>La sesión debe existir y estar en estado "Por Iniciar".</t>
  </si>
  <si>
    <t>RN-Sesion-06</t>
  </si>
  <si>
    <t>Al iniciar la sesión, el estado de la AsignacionVariable y del EntrenamientoCognitivo padres se actualiza a "En Progreso".</t>
  </si>
  <si>
    <t>Error inesperado del servidor
Retornar un error 500 Internal Server Error</t>
  </si>
  <si>
    <t>RN-Sesion-07</t>
  </si>
  <si>
    <t>La sesión debe existir y estar en estado "En Progreso".</t>
  </si>
  <si>
    <t>RN-Sesion-08</t>
  </si>
  <si>
    <t>Los objetos nuevasMetricas y nuevoNivelInicial deben ser JSON válidos</t>
  </si>
  <si>
    <t>RN-Sesion-09</t>
  </si>
  <si>
    <t>La operación actualiza los campos metricas y nivelInicial en la tabla AsignacionVariable padre.</t>
  </si>
  <si>
    <t>Actualizar Observación</t>
  </si>
  <si>
    <t>Permite a un entrenador añadir o modificar comentarios en una sesión que ya ha concluido.</t>
  </si>
  <si>
    <t>ID de la sesión a modificar.</t>
  </si>
  <si>
    <t>nuevaObservacion</t>
  </si>
  <si>
    <t>El nuevo texto para la observación (máx. 500 caracteres).</t>
  </si>
  <si>
    <t>RN-Sesion-10</t>
  </si>
  <si>
    <t>La sesión no debe estar en estado "Por Iniciar" o "En Progreso". Solo se pueden añadir observaciones a sesiones concluidas</t>
  </si>
  <si>
    <t>Estado de sesión no permite observaciones</t>
  </si>
  <si>
    <t>Sesión no encontrada</t>
  </si>
  <si>
    <t>dentificador</t>
  </si>
  <si>
    <t>Quitar espacios al inicio y al final</t>
  </si>
  <si>
    <t>Nombre de la variable cognitiva</t>
  </si>
  <si>
    <t>descripcion</t>
  </si>
  <si>
    <t>Quitar espacioas al inicio y al final</t>
  </si>
  <si>
    <t>Descripcion de la variable cognitiva</t>
  </si>
  <si>
    <t>Activo</t>
  </si>
  <si>
    <t>Estado de activación de la variable cognitiva</t>
  </si>
  <si>
    <t>Combinacion 1</t>
  </si>
  <si>
    <t xml:space="preserve">No puede haber una variable con el mismo nombre </t>
  </si>
  <si>
    <t>Combinacion 2</t>
  </si>
  <si>
    <t>No puede haber una variable la misma descripción</t>
  </si>
  <si>
    <t>Listar Variables</t>
  </si>
  <si>
    <t>Obtiene una lista de todas las variables cognitivas disponibles en el sistema para ser usadas en los entrenamientos.</t>
  </si>
  <si>
    <t xml:space="preserve">	
No se requieren parámetros de entrada.</t>
  </si>
  <si>
    <t>Objeto JSON que contiene la lista de variables cognitivas.</t>
  </si>
  <si>
    <t>RN-Variable-01</t>
  </si>
  <si>
    <t>Requiere un token de usuario autenticado</t>
  </si>
  <si>
    <t>RN-Variable-02</t>
  </si>
  <si>
    <t>La consulta se realiza contra la vista ObtenerEntrenamientoCognitivosUV</t>
  </si>
  <si>
    <t>Valor único que identifica el tipo de documento</t>
  </si>
  <si>
    <t>sigla</t>
  </si>
  <si>
    <t>Solo letras</t>
  </si>
  <si>
    <t>Siglas del tipo de documento</t>
  </si>
  <si>
    <t>Letras, números y espacios</t>
  </si>
  <si>
    <t>Descripción del documento</t>
  </si>
  <si>
    <t>No es posible que existan dos tipos de documento con las mismas siglas</t>
  </si>
  <si>
    <t>No es posible que existan dos tipos de documento con el mismo nombre</t>
  </si>
  <si>
    <t>Listar Tipos</t>
  </si>
  <si>
    <t>Obtiene una lista de todos los tipos de documento disponibles en el sistema</t>
  </si>
  <si>
    <t>No se requieren parámetros de entrada.</t>
  </si>
  <si>
    <t>Objeto JSON que contiene la lista de tipos de documento.</t>
  </si>
  <si>
    <t>RN-Tipo Documento-01</t>
  </si>
  <si>
    <t xml:space="preserve">Requiere un token de usuario autenticado </t>
  </si>
  <si>
    <t>RN-Tipo Documento-02</t>
  </si>
  <si>
    <t>La consulta se realiza contra la vista ListarTiposDocumentoUV para obtener los datos.</t>
  </si>
  <si>
    <t>Valor único que identifica al programa</t>
  </si>
  <si>
    <t>snies</t>
  </si>
  <si>
    <t>Código SNIES del programa</t>
  </si>
  <si>
    <t>Nombre del programa</t>
  </si>
  <si>
    <t>Facultad a la que pertenece el programa</t>
  </si>
  <si>
    <t>No es posible tener dos o más programas con el mismo SNIES</t>
  </si>
  <si>
    <t>No es posible tener dos o más programas con el mismo nombre</t>
  </si>
  <si>
    <t>Listar Programas</t>
  </si>
  <si>
    <t>Obtiene una lista de todos los programas académicos disponibles en el sistema.</t>
  </si>
  <si>
    <t>Objeto JSON que contiene la lista de programas.</t>
  </si>
  <si>
    <t>RN-Programa-01</t>
  </si>
  <si>
    <t>Retornar un error 401 Unauthorized</t>
  </si>
  <si>
    <t>RN-Programa-02</t>
  </si>
  <si>
    <t>La consulta se realiza contra la vista VistaNombresProgramaUV para obtener los datos.</t>
  </si>
  <si>
    <t>Identificador único de la facultad</t>
  </si>
  <si>
    <t>Nombre de la facultad</t>
  </si>
  <si>
    <t>No es posible tener dos o más facultades con el mismo nombre</t>
  </si>
  <si>
    <t>Listar Facultades</t>
  </si>
  <si>
    <t>Obtiene una lista de todas las facultades disponibles en el sistema.</t>
  </si>
  <si>
    <t>Objeto JSON que contiene la lista de facultades.</t>
  </si>
  <si>
    <t>RN-Facultad-01</t>
  </si>
  <si>
    <t>RN-Facultad-02</t>
  </si>
  <si>
    <t>La consulta se realiza contra la vista ListarFacultadesUV para obtener los datos.</t>
  </si>
  <si>
    <t>Valor único para identificar el registro del género</t>
  </si>
  <si>
    <t xml:space="preserve">nombre </t>
  </si>
  <si>
    <t>Nombre del estado</t>
  </si>
  <si>
    <t>codigo</t>
  </si>
  <si>
    <t>Codigo del estado</t>
  </si>
  <si>
    <t>No es posible tener dos o más estados con el mismo codigo</t>
  </si>
  <si>
    <t>Consultar Estado</t>
  </si>
  <si>
    <t>Permite a otras funciones de la base de datos obtener el UUID de un estado específico a través de su nombre.</t>
  </si>
  <si>
    <t>nombreEstado</t>
  </si>
  <si>
    <t>Nombre del estado a consultar</t>
  </si>
  <si>
    <t>El ID único del estado solicitado</t>
  </si>
  <si>
    <t>RN-Estado-01</t>
  </si>
  <si>
    <t>Los estados (Por Iniciar, En Progreso, Finalizado, Abandono) están predefinidos en la base de datos y no se gestionan a través de la API.</t>
  </si>
  <si>
    <t>Estado no encontrado</t>
  </si>
  <si>
    <t>La función de la base de datos lanza una excepción, lo que causa que la transacción que la llamó falle y retorne un error 500 Internal Server Error</t>
  </si>
  <si>
    <t>Descripción del género</t>
  </si>
  <si>
    <t>No es posible tener dos o más registros con el mismo nombre</t>
  </si>
  <si>
    <t>Listar Géneros</t>
  </si>
  <si>
    <t>Obtiene una lista de todos los géneros disponibles en el sistema</t>
  </si>
  <si>
    <t>Objeto JSON que contiene la lista de géneros.</t>
  </si>
  <si>
    <t>RN-Genero-01</t>
  </si>
  <si>
    <t>RN-Genero-02</t>
  </si>
  <si>
    <t>La consulta se realiza contra la vista VistaGenerosUV para obtener los datos.</t>
  </si>
  <si>
    <t>Proveer Género</t>
  </si>
  <si>
    <t>(Interno) Permite a otras funciones obtener el UUID de un género a través de su nombre exacto.</t>
  </si>
  <si>
    <t>Nombre del género a consultar</t>
  </si>
  <si>
    <t>El ID único del género solicitado.</t>
  </si>
  <si>
    <t>RN-Genero-03</t>
  </si>
  <si>
    <t>El sistema tiene un género por defecto ("No Binario") que se asigna si no se especifica uno durante el registro del estudiante.</t>
  </si>
  <si>
    <t>Género no encontrado</t>
  </si>
  <si>
    <t>La función de la base de datos lanza una excepción, causando que la transacción principal falle y retorne un error 404 Not Found.</t>
  </si>
  <si>
    <t>RN-Genero-04</t>
  </si>
  <si>
    <t>Esta función es llamada internamente durante el registro o modificación de un estudiante.</t>
  </si>
  <si>
    <t>Responsabilidad 1</t>
  </si>
  <si>
    <t>Responsabilidad 2</t>
  </si>
  <si>
    <t>Responsabilidad 3</t>
  </si>
  <si>
    <t>Responsabilidad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</si>
</sst>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  <charset val="1"/>
    </font>
    <font>
      <sz val="11"/>
      <color rgb="FF000000"/>
      <name val="Calibri"/>
      <scheme val="minor"/>
    </font>
    <font>
      <b/>
      <sz val="11"/>
      <color rgb="FF000000"/>
      <name val="Calibri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FF2CC"/>
        <bgColor indexed="64"/>
      </patternFill>
    </fill>
  </fills>
  <borders count="8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rgb="FF000000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medium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rgb="FF000000"/>
      </top>
      <bottom style="thin">
        <color indexed="64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rgb="FF000000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364">
    <xf numFmtId="0" fontId="0" fillId="0" borderId="0" xfId="0"/>
    <xf numFmtId="0" fontId="0" fillId="0" borderId="0" xfId="0" applyAlignment="1">
      <alignment vertical="center"/>
    </xf>
    <xf numFmtId="0" fontId="3" fillId="3" borderId="3" xfId="1" applyFont="1" applyFill="1" applyBorder="1" applyAlignment="1">
      <alignment horizontal="center" vertical="center"/>
    </xf>
    <xf numFmtId="0" fontId="0" fillId="4" borderId="0" xfId="0" applyFill="1"/>
    <xf numFmtId="0" fontId="5" fillId="5" borderId="1" xfId="0" applyFont="1" applyFill="1" applyBorder="1" applyAlignment="1">
      <alignment vertical="center"/>
    </xf>
    <xf numFmtId="0" fontId="4" fillId="7" borderId="1" xfId="0" applyFont="1" applyFill="1" applyBorder="1" applyAlignment="1">
      <alignment vertical="center"/>
    </xf>
    <xf numFmtId="0" fontId="4" fillId="7" borderId="1" xfId="0" quotePrefix="1" applyFont="1" applyFill="1" applyBorder="1" applyAlignment="1">
      <alignment vertical="center"/>
    </xf>
    <xf numFmtId="0" fontId="4" fillId="7" borderId="1" xfId="0" applyFont="1" applyFill="1" applyBorder="1" applyAlignment="1">
      <alignment vertical="center" wrapText="1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 wrapText="1"/>
    </xf>
    <xf numFmtId="0" fontId="4" fillId="7" borderId="5" xfId="0" applyFont="1" applyFill="1" applyBorder="1" applyAlignment="1">
      <alignment vertical="center"/>
    </xf>
    <xf numFmtId="0" fontId="4" fillId="7" borderId="1" xfId="0" applyFont="1" applyFill="1" applyBorder="1" applyAlignment="1">
      <alignment horizontal="left" vertical="center"/>
    </xf>
    <xf numFmtId="0" fontId="4" fillId="7" borderId="1" xfId="0" quotePrefix="1" applyFont="1" applyFill="1" applyBorder="1" applyAlignment="1">
      <alignment vertical="center" wrapText="1"/>
    </xf>
    <xf numFmtId="0" fontId="4" fillId="8" borderId="7" xfId="0" applyFont="1" applyFill="1" applyBorder="1" applyAlignment="1">
      <alignment vertical="center"/>
    </xf>
    <xf numFmtId="0" fontId="4" fillId="8" borderId="8" xfId="0" applyFont="1" applyFill="1" applyBorder="1" applyAlignment="1">
      <alignment vertical="center" wrapText="1"/>
    </xf>
    <xf numFmtId="0" fontId="5" fillId="0" borderId="1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vertical="center"/>
    </xf>
    <xf numFmtId="0" fontId="2" fillId="6" borderId="1" xfId="1" applyFill="1" applyBorder="1" applyAlignment="1">
      <alignment vertical="center"/>
    </xf>
    <xf numFmtId="0" fontId="0" fillId="6" borderId="1" xfId="0" applyFill="1" applyBorder="1" applyAlignment="1">
      <alignment vertical="center" wrapText="1"/>
    </xf>
    <xf numFmtId="0" fontId="0" fillId="5" borderId="1" xfId="0" applyFill="1" applyBorder="1" applyAlignment="1">
      <alignment vertical="center"/>
    </xf>
    <xf numFmtId="0" fontId="0" fillId="5" borderId="1" xfId="0" applyFill="1" applyBorder="1" applyAlignment="1">
      <alignment vertical="center" wrapText="1"/>
    </xf>
    <xf numFmtId="0" fontId="1" fillId="2" borderId="6" xfId="0" applyFont="1" applyFill="1" applyBorder="1" applyAlignment="1">
      <alignment horizontal="center" vertical="center"/>
    </xf>
    <xf numFmtId="0" fontId="0" fillId="6" borderId="6" xfId="0" applyFill="1" applyBorder="1" applyAlignment="1">
      <alignment vertical="center"/>
    </xf>
    <xf numFmtId="0" fontId="0" fillId="5" borderId="6" xfId="0" applyFill="1" applyBorder="1" applyAlignment="1">
      <alignment vertical="center"/>
    </xf>
    <xf numFmtId="0" fontId="0" fillId="10" borderId="1" xfId="0" applyFill="1" applyBorder="1" applyAlignment="1">
      <alignment vertical="center"/>
    </xf>
    <xf numFmtId="0" fontId="0" fillId="10" borderId="1" xfId="0" applyFill="1" applyBorder="1" applyAlignment="1">
      <alignment vertical="center" wrapText="1"/>
    </xf>
    <xf numFmtId="0" fontId="0" fillId="10" borderId="6" xfId="0" applyFill="1" applyBorder="1" applyAlignment="1">
      <alignment vertical="center"/>
    </xf>
    <xf numFmtId="0" fontId="0" fillId="3" borderId="1" xfId="0" applyFill="1" applyBorder="1" applyAlignment="1">
      <alignment vertical="center"/>
    </xf>
    <xf numFmtId="0" fontId="0" fillId="3" borderId="1" xfId="0" applyFill="1" applyBorder="1" applyAlignment="1">
      <alignment vertical="center" wrapText="1"/>
    </xf>
    <xf numFmtId="0" fontId="0" fillId="3" borderId="6" xfId="0" applyFill="1" applyBorder="1" applyAlignment="1">
      <alignment vertical="center"/>
    </xf>
    <xf numFmtId="0" fontId="4" fillId="6" borderId="1" xfId="0" applyFont="1" applyFill="1" applyBorder="1" applyAlignment="1">
      <alignment vertical="center"/>
    </xf>
    <xf numFmtId="0" fontId="3" fillId="5" borderId="3" xfId="1" applyFont="1" applyFill="1" applyBorder="1" applyAlignment="1">
      <alignment horizontal="center" vertical="center"/>
    </xf>
    <xf numFmtId="0" fontId="3" fillId="10" borderId="3" xfId="1" applyFont="1" applyFill="1" applyBorder="1" applyAlignment="1">
      <alignment horizontal="center" vertical="center"/>
    </xf>
    <xf numFmtId="0" fontId="3" fillId="6" borderId="3" xfId="1" applyFont="1" applyFill="1" applyBorder="1" applyAlignment="1">
      <alignment horizontal="center" vertical="center"/>
    </xf>
    <xf numFmtId="0" fontId="2" fillId="8" borderId="9" xfId="2" applyFill="1" applyBorder="1" applyAlignment="1">
      <alignment vertical="center"/>
    </xf>
    <xf numFmtId="0" fontId="0" fillId="5" borderId="1" xfId="0" applyFill="1" applyBorder="1" applyAlignment="1">
      <alignment horizontal="center" vertical="center"/>
    </xf>
    <xf numFmtId="0" fontId="2" fillId="10" borderId="1" xfId="1" applyFill="1" applyBorder="1" applyAlignment="1">
      <alignment horizontal="left" vertical="center"/>
    </xf>
    <xf numFmtId="0" fontId="0" fillId="10" borderId="1" xfId="0" applyFill="1" applyBorder="1" applyAlignment="1">
      <alignment horizontal="left" vertical="center" wrapText="1"/>
    </xf>
    <xf numFmtId="0" fontId="0" fillId="10" borderId="1" xfId="0" applyFill="1" applyBorder="1" applyAlignment="1">
      <alignment horizontal="left" vertical="center"/>
    </xf>
    <xf numFmtId="0" fontId="0" fillId="10" borderId="1" xfId="0" applyFill="1" applyBorder="1" applyAlignment="1">
      <alignment horizontal="center" vertical="center"/>
    </xf>
    <xf numFmtId="0" fontId="2" fillId="5" borderId="1" xfId="1" applyFill="1" applyBorder="1" applyAlignment="1">
      <alignment horizontal="left" vertical="center"/>
    </xf>
    <xf numFmtId="0" fontId="0" fillId="5" borderId="1" xfId="0" applyFill="1" applyBorder="1" applyAlignment="1">
      <alignment horizontal="left" vertical="center" wrapText="1"/>
    </xf>
    <xf numFmtId="0" fontId="0" fillId="5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left" vertical="center" wrapText="1"/>
    </xf>
    <xf numFmtId="0" fontId="0" fillId="3" borderId="1" xfId="0" applyFill="1" applyBorder="1" applyAlignment="1">
      <alignment horizontal="center" vertical="center"/>
    </xf>
    <xf numFmtId="0" fontId="2" fillId="3" borderId="1" xfId="1" applyFill="1" applyBorder="1" applyAlignment="1">
      <alignment horizontal="left" vertical="center"/>
    </xf>
    <xf numFmtId="0" fontId="4" fillId="7" borderId="12" xfId="0" applyFont="1" applyFill="1" applyBorder="1" applyAlignment="1">
      <alignment vertical="center"/>
    </xf>
    <xf numFmtId="0" fontId="4" fillId="7" borderId="12" xfId="0" quotePrefix="1" applyFont="1" applyFill="1" applyBorder="1" applyAlignment="1">
      <alignment vertical="center"/>
    </xf>
    <xf numFmtId="0" fontId="4" fillId="7" borderId="12" xfId="0" applyFont="1" applyFill="1" applyBorder="1" applyAlignment="1">
      <alignment vertical="center" wrapText="1"/>
    </xf>
    <xf numFmtId="0" fontId="4" fillId="6" borderId="12" xfId="0" applyFont="1" applyFill="1" applyBorder="1" applyAlignment="1">
      <alignment vertical="center"/>
    </xf>
    <xf numFmtId="0" fontId="4" fillId="7" borderId="13" xfId="0" applyFont="1" applyFill="1" applyBorder="1" applyAlignment="1">
      <alignment vertical="center"/>
    </xf>
    <xf numFmtId="0" fontId="4" fillId="7" borderId="14" xfId="0" applyFont="1" applyFill="1" applyBorder="1" applyAlignment="1">
      <alignment vertical="center"/>
    </xf>
    <xf numFmtId="0" fontId="1" fillId="2" borderId="14" xfId="0" applyFont="1" applyFill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0" fillId="6" borderId="12" xfId="0" applyFill="1" applyBorder="1" applyAlignment="1">
      <alignment vertical="center" wrapText="1"/>
    </xf>
    <xf numFmtId="0" fontId="0" fillId="6" borderId="22" xfId="0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5" borderId="1" xfId="0" applyFont="1" applyFill="1" applyBorder="1" applyAlignment="1">
      <alignment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4" fillId="7" borderId="5" xfId="0" applyFont="1" applyFill="1" applyBorder="1" applyAlignment="1">
      <alignment vertical="center" wrapText="1"/>
    </xf>
    <xf numFmtId="0" fontId="5" fillId="0" borderId="5" xfId="0" applyFont="1" applyBorder="1" applyAlignment="1">
      <alignment horizontal="center" vertical="center" wrapText="1"/>
    </xf>
    <xf numFmtId="0" fontId="4" fillId="8" borderId="7" xfId="0" applyFont="1" applyFill="1" applyBorder="1" applyAlignment="1">
      <alignment vertical="center" wrapText="1"/>
    </xf>
    <xf numFmtId="0" fontId="4" fillId="7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vertical="center" wrapText="1"/>
    </xf>
    <xf numFmtId="0" fontId="5" fillId="0" borderId="6" xfId="0" applyFont="1" applyBorder="1" applyAlignment="1">
      <alignment horizontal="center" vertical="center" wrapText="1"/>
    </xf>
    <xf numFmtId="0" fontId="2" fillId="8" borderId="9" xfId="2" applyFill="1" applyBorder="1" applyAlignment="1">
      <alignment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0" fillId="6" borderId="6" xfId="0" applyFill="1" applyBorder="1" applyAlignment="1">
      <alignment vertical="center" wrapText="1"/>
    </xf>
    <xf numFmtId="0" fontId="0" fillId="6" borderId="18" xfId="0" applyFill="1" applyBorder="1" applyAlignment="1">
      <alignment vertical="center" wrapText="1"/>
    </xf>
    <xf numFmtId="0" fontId="2" fillId="0" borderId="0" xfId="2"/>
    <xf numFmtId="0" fontId="1" fillId="2" borderId="4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 wrapText="1"/>
    </xf>
    <xf numFmtId="0" fontId="1" fillId="2" borderId="24" xfId="0" applyFont="1" applyFill="1" applyBorder="1" applyAlignment="1">
      <alignment horizontal="center" vertical="center"/>
    </xf>
    <xf numFmtId="0" fontId="4" fillId="7" borderId="26" xfId="0" applyFont="1" applyFill="1" applyBorder="1" applyAlignment="1">
      <alignment vertical="center"/>
    </xf>
    <xf numFmtId="0" fontId="4" fillId="7" borderId="26" xfId="0" quotePrefix="1" applyFont="1" applyFill="1" applyBorder="1" applyAlignment="1">
      <alignment vertical="center"/>
    </xf>
    <xf numFmtId="0" fontId="5" fillId="2" borderId="29" xfId="0" applyFont="1" applyFill="1" applyBorder="1" applyAlignment="1">
      <alignment horizontal="center" vertical="center" wrapText="1"/>
    </xf>
    <xf numFmtId="0" fontId="4" fillId="7" borderId="23" xfId="0" applyFont="1" applyFill="1" applyBorder="1" applyAlignment="1">
      <alignment vertical="center" wrapText="1"/>
    </xf>
    <xf numFmtId="0" fontId="4" fillId="7" borderId="25" xfId="0" applyFont="1" applyFill="1" applyBorder="1" applyAlignment="1">
      <alignment vertical="center" wrapText="1"/>
    </xf>
    <xf numFmtId="0" fontId="4" fillId="7" borderId="27" xfId="0" applyFont="1" applyFill="1" applyBorder="1" applyAlignment="1">
      <alignment vertical="center" wrapText="1"/>
    </xf>
    <xf numFmtId="0" fontId="4" fillId="7" borderId="30" xfId="0" applyFont="1" applyFill="1" applyBorder="1" applyAlignment="1">
      <alignment vertical="center" wrapText="1"/>
    </xf>
    <xf numFmtId="0" fontId="2" fillId="6" borderId="3" xfId="2" applyFill="1" applyBorder="1" applyAlignment="1">
      <alignment horizontal="center" vertical="center" wrapText="1"/>
    </xf>
    <xf numFmtId="0" fontId="0" fillId="0" borderId="31" xfId="0" applyBorder="1" applyAlignment="1">
      <alignment vertical="center" wrapText="1"/>
    </xf>
    <xf numFmtId="0" fontId="0" fillId="0" borderId="32" xfId="0" applyBorder="1" applyAlignment="1">
      <alignment vertical="center" wrapText="1"/>
    </xf>
    <xf numFmtId="0" fontId="0" fillId="0" borderId="18" xfId="0" applyBorder="1" applyAlignment="1">
      <alignment wrapText="1"/>
    </xf>
    <xf numFmtId="0" fontId="1" fillId="2" borderId="29" xfId="0" applyFont="1" applyFill="1" applyBorder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5" fillId="2" borderId="12" xfId="0" applyFont="1" applyFill="1" applyBorder="1" applyAlignment="1">
      <alignment horizontal="center" vertical="center" wrapText="1"/>
    </xf>
    <xf numFmtId="0" fontId="4" fillId="7" borderId="12" xfId="0" quotePrefix="1" applyFont="1" applyFill="1" applyBorder="1" applyAlignment="1">
      <alignment vertical="center" wrapText="1"/>
    </xf>
    <xf numFmtId="0" fontId="2" fillId="2" borderId="12" xfId="2" applyFill="1" applyBorder="1" applyAlignment="1">
      <alignment horizontal="center" vertical="center"/>
    </xf>
    <xf numFmtId="0" fontId="2" fillId="2" borderId="12" xfId="2" applyFill="1" applyBorder="1" applyAlignment="1">
      <alignment vertical="center"/>
    </xf>
    <xf numFmtId="0" fontId="1" fillId="2" borderId="26" xfId="0" applyFont="1" applyFill="1" applyBorder="1" applyAlignment="1">
      <alignment horizontal="center" vertical="center" wrapText="1"/>
    </xf>
    <xf numFmtId="0" fontId="4" fillId="6" borderId="12" xfId="0" applyFont="1" applyFill="1" applyBorder="1" applyAlignment="1">
      <alignment vertical="center" wrapText="1"/>
    </xf>
    <xf numFmtId="0" fontId="4" fillId="7" borderId="12" xfId="0" applyFont="1" applyFill="1" applyBorder="1" applyAlignment="1">
      <alignment horizontal="left" vertical="center" wrapText="1"/>
    </xf>
    <xf numFmtId="0" fontId="5" fillId="5" borderId="14" xfId="0" applyFont="1" applyFill="1" applyBorder="1" applyAlignment="1">
      <alignment vertical="center" wrapText="1"/>
    </xf>
    <xf numFmtId="0" fontId="1" fillId="2" borderId="24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7" borderId="17" xfId="0" applyFill="1" applyBorder="1" applyAlignment="1">
      <alignment wrapText="1"/>
    </xf>
    <xf numFmtId="0" fontId="0" fillId="7" borderId="18" xfId="0" applyFill="1" applyBorder="1" applyAlignment="1">
      <alignment wrapText="1"/>
    </xf>
    <xf numFmtId="0" fontId="0" fillId="0" borderId="17" xfId="0" applyBorder="1" applyAlignment="1">
      <alignment wrapText="1"/>
    </xf>
    <xf numFmtId="0" fontId="0" fillId="0" borderId="19" xfId="0" applyBorder="1" applyAlignment="1">
      <alignment wrapText="1"/>
    </xf>
    <xf numFmtId="0" fontId="0" fillId="0" borderId="20" xfId="0" applyBorder="1" applyAlignment="1">
      <alignment wrapText="1"/>
    </xf>
    <xf numFmtId="0" fontId="1" fillId="5" borderId="17" xfId="0" applyFont="1" applyFill="1" applyBorder="1" applyAlignment="1">
      <alignment horizontal="center" wrapText="1"/>
    </xf>
    <xf numFmtId="0" fontId="1" fillId="5" borderId="18" xfId="0" applyFont="1" applyFill="1" applyBorder="1" applyAlignment="1">
      <alignment horizontal="center" wrapText="1"/>
    </xf>
    <xf numFmtId="0" fontId="4" fillId="7" borderId="17" xfId="0" applyFont="1" applyFill="1" applyBorder="1" applyAlignment="1">
      <alignment vertical="center" wrapText="1"/>
    </xf>
    <xf numFmtId="0" fontId="2" fillId="2" borderId="12" xfId="2" applyFill="1" applyBorder="1" applyAlignment="1">
      <alignment horizontal="center" vertical="center" wrapText="1"/>
    </xf>
    <xf numFmtId="0" fontId="5" fillId="5" borderId="15" xfId="0" applyFont="1" applyFill="1" applyBorder="1" applyAlignment="1">
      <alignment vertical="center" wrapText="1"/>
    </xf>
    <xf numFmtId="0" fontId="5" fillId="5" borderId="17" xfId="0" applyFont="1" applyFill="1" applyBorder="1" applyAlignment="1">
      <alignment vertical="center" wrapText="1"/>
    </xf>
    <xf numFmtId="0" fontId="5" fillId="2" borderId="17" xfId="0" applyFont="1" applyFill="1" applyBorder="1" applyAlignment="1">
      <alignment horizontal="center" vertical="center" wrapText="1"/>
    </xf>
    <xf numFmtId="0" fontId="4" fillId="13" borderId="12" xfId="0" applyFont="1" applyFill="1" applyBorder="1" applyAlignment="1">
      <alignment vertical="center" wrapText="1"/>
    </xf>
    <xf numFmtId="0" fontId="2" fillId="13" borderId="3" xfId="2" applyFill="1" applyBorder="1" applyAlignment="1">
      <alignment horizontal="center" vertical="center" wrapText="1"/>
    </xf>
    <xf numFmtId="0" fontId="4" fillId="13" borderId="1" xfId="0" applyFont="1" applyFill="1" applyBorder="1" applyAlignment="1">
      <alignment vertical="center" wrapText="1"/>
    </xf>
    <xf numFmtId="0" fontId="1" fillId="2" borderId="39" xfId="0" applyFont="1" applyFill="1" applyBorder="1" applyAlignment="1">
      <alignment horizontal="center" vertical="center" wrapText="1"/>
    </xf>
    <xf numFmtId="0" fontId="4" fillId="7" borderId="12" xfId="0" applyFont="1" applyFill="1" applyBorder="1" applyAlignment="1">
      <alignment horizontal="center" vertical="center" wrapText="1"/>
    </xf>
    <xf numFmtId="0" fontId="4" fillId="13" borderId="27" xfId="0" applyFont="1" applyFill="1" applyBorder="1" applyAlignment="1">
      <alignment vertical="center" wrapText="1"/>
    </xf>
    <xf numFmtId="0" fontId="0" fillId="13" borderId="12" xfId="0" applyFill="1" applyBorder="1" applyAlignment="1">
      <alignment horizontal="center" vertical="center" wrapText="1"/>
    </xf>
    <xf numFmtId="0" fontId="5" fillId="0" borderId="50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51" xfId="0" applyFont="1" applyBorder="1" applyAlignment="1">
      <alignment horizontal="center" vertical="center"/>
    </xf>
    <xf numFmtId="0" fontId="4" fillId="8" borderId="52" xfId="0" applyFont="1" applyFill="1" applyBorder="1" applyAlignment="1">
      <alignment vertical="center"/>
    </xf>
    <xf numFmtId="0" fontId="4" fillId="8" borderId="53" xfId="0" applyFont="1" applyFill="1" applyBorder="1" applyAlignment="1">
      <alignment vertical="center" wrapText="1"/>
    </xf>
    <xf numFmtId="0" fontId="2" fillId="8" borderId="54" xfId="2" applyFill="1" applyBorder="1" applyAlignment="1">
      <alignment vertical="center"/>
    </xf>
    <xf numFmtId="0" fontId="2" fillId="8" borderId="51" xfId="2" applyFill="1" applyBorder="1" applyAlignment="1">
      <alignment vertical="center" wrapText="1"/>
    </xf>
    <xf numFmtId="0" fontId="5" fillId="0" borderId="50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5" fillId="0" borderId="51" xfId="0" applyFont="1" applyBorder="1" applyAlignment="1">
      <alignment horizontal="center" vertical="center" wrapText="1"/>
    </xf>
    <xf numFmtId="0" fontId="1" fillId="5" borderId="12" xfId="0" applyFont="1" applyFill="1" applyBorder="1" applyAlignment="1">
      <alignment vertical="center" wrapText="1"/>
    </xf>
    <xf numFmtId="0" fontId="1" fillId="5" borderId="12" xfId="0" applyFont="1" applyFill="1" applyBorder="1" applyAlignment="1">
      <alignment horizontal="center" vertical="center" wrapText="1"/>
    </xf>
    <xf numFmtId="0" fontId="1" fillId="2" borderId="15" xfId="0" applyFont="1" applyFill="1" applyBorder="1" applyAlignment="1">
      <alignment vertical="center" wrapText="1"/>
    </xf>
    <xf numFmtId="0" fontId="1" fillId="5" borderId="17" xfId="0" applyFont="1" applyFill="1" applyBorder="1" applyAlignment="1">
      <alignment horizontal="center" vertical="center" wrapText="1"/>
    </xf>
    <xf numFmtId="0" fontId="1" fillId="5" borderId="18" xfId="0" applyFont="1" applyFill="1" applyBorder="1" applyAlignment="1">
      <alignment horizontal="center" vertical="center" wrapText="1"/>
    </xf>
    <xf numFmtId="0" fontId="2" fillId="6" borderId="17" xfId="2" applyFill="1" applyBorder="1" applyAlignment="1">
      <alignment vertical="center" wrapText="1"/>
    </xf>
    <xf numFmtId="0" fontId="2" fillId="6" borderId="19" xfId="2" applyFill="1" applyBorder="1" applyAlignment="1">
      <alignment vertical="center" wrapText="1"/>
    </xf>
    <xf numFmtId="0" fontId="0" fillId="6" borderId="20" xfId="0" applyFill="1" applyBorder="1" applyAlignment="1">
      <alignment vertical="center" wrapText="1"/>
    </xf>
    <xf numFmtId="0" fontId="0" fillId="12" borderId="12" xfId="0" applyFill="1" applyBorder="1" applyAlignment="1">
      <alignment horizontal="center" vertical="center" wrapText="1"/>
    </xf>
    <xf numFmtId="0" fontId="0" fillId="13" borderId="12" xfId="0" applyFill="1" applyBorder="1" applyAlignment="1">
      <alignment horizontal="center" vertical="center"/>
    </xf>
    <xf numFmtId="0" fontId="7" fillId="12" borderId="12" xfId="0" applyFont="1" applyFill="1" applyBorder="1" applyAlignment="1">
      <alignment horizontal="center" vertical="center" wrapText="1"/>
    </xf>
    <xf numFmtId="0" fontId="6" fillId="13" borderId="12" xfId="2" applyFont="1" applyFill="1" applyBorder="1" applyAlignment="1">
      <alignment horizontal="center" vertical="center" wrapText="1"/>
    </xf>
    <xf numFmtId="0" fontId="6" fillId="13" borderId="12" xfId="1" applyFont="1" applyFill="1" applyBorder="1" applyAlignment="1">
      <alignment horizontal="center" vertical="center" wrapText="1"/>
    </xf>
    <xf numFmtId="0" fontId="2" fillId="7" borderId="12" xfId="2" applyFill="1" applyBorder="1" applyAlignment="1">
      <alignment vertical="center" wrapText="1"/>
    </xf>
    <xf numFmtId="0" fontId="2" fillId="7" borderId="12" xfId="2" applyFill="1" applyBorder="1" applyAlignment="1">
      <alignment vertical="center"/>
    </xf>
    <xf numFmtId="0" fontId="2" fillId="7" borderId="26" xfId="2" applyFill="1" applyBorder="1" applyAlignment="1">
      <alignment vertical="center"/>
    </xf>
    <xf numFmtId="0" fontId="2" fillId="7" borderId="1" xfId="2" applyFill="1" applyBorder="1" applyAlignment="1">
      <alignment vertical="center" wrapText="1"/>
    </xf>
    <xf numFmtId="0" fontId="6" fillId="6" borderId="1" xfId="2" applyFont="1" applyFill="1" applyBorder="1" applyAlignment="1">
      <alignment vertical="center" wrapText="1"/>
    </xf>
    <xf numFmtId="0" fontId="8" fillId="13" borderId="12" xfId="1" applyFont="1" applyFill="1" applyBorder="1" applyAlignment="1">
      <alignment horizontal="center" vertical="center" wrapText="1"/>
    </xf>
    <xf numFmtId="0" fontId="0" fillId="13" borderId="26" xfId="0" applyFill="1" applyBorder="1" applyAlignment="1">
      <alignment horizontal="center" vertical="center" wrapText="1"/>
    </xf>
    <xf numFmtId="0" fontId="0" fillId="5" borderId="12" xfId="0" applyFill="1" applyBorder="1" applyAlignment="1">
      <alignment horizontal="center" vertical="center" wrapText="1"/>
    </xf>
    <xf numFmtId="0" fontId="0" fillId="5" borderId="12" xfId="1" applyFont="1" applyFill="1" applyBorder="1" applyAlignment="1">
      <alignment horizontal="center" vertical="center" wrapText="1"/>
    </xf>
    <xf numFmtId="0" fontId="2" fillId="8" borderId="51" xfId="2" applyFill="1" applyBorder="1" applyAlignment="1">
      <alignment horizontal="center" vertical="center" wrapText="1"/>
    </xf>
    <xf numFmtId="0" fontId="4" fillId="8" borderId="52" xfId="0" applyFont="1" applyFill="1" applyBorder="1" applyAlignment="1">
      <alignment horizontal="center" vertical="center" wrapText="1"/>
    </xf>
    <xf numFmtId="0" fontId="4" fillId="8" borderId="53" xfId="0" applyFont="1" applyFill="1" applyBorder="1" applyAlignment="1">
      <alignment horizontal="center" vertical="center" wrapText="1"/>
    </xf>
    <xf numFmtId="0" fontId="2" fillId="8" borderId="54" xfId="2" applyFill="1" applyBorder="1" applyAlignment="1">
      <alignment horizontal="center" vertical="center" wrapText="1"/>
    </xf>
    <xf numFmtId="0" fontId="0" fillId="13" borderId="12" xfId="1" applyFont="1" applyFill="1" applyBorder="1" applyAlignment="1">
      <alignment horizontal="center" vertical="center" wrapText="1"/>
    </xf>
    <xf numFmtId="0" fontId="0" fillId="13" borderId="12" xfId="0" applyFill="1" applyBorder="1" applyAlignment="1">
      <alignment horizontal="center"/>
    </xf>
    <xf numFmtId="0" fontId="0" fillId="13" borderId="12" xfId="1" applyFont="1" applyFill="1" applyBorder="1" applyAlignment="1">
      <alignment horizontal="center" vertical="center"/>
    </xf>
    <xf numFmtId="0" fontId="2" fillId="14" borderId="12" xfId="2" applyFill="1" applyBorder="1" applyAlignment="1">
      <alignment horizontal="center" vertical="center" wrapText="1"/>
    </xf>
    <xf numFmtId="0" fontId="2" fillId="14" borderId="27" xfId="2" applyFill="1" applyBorder="1" applyAlignment="1">
      <alignment horizontal="center" vertical="center" wrapText="1"/>
    </xf>
    <xf numFmtId="0" fontId="2" fillId="14" borderId="12" xfId="2" applyFill="1" applyBorder="1" applyAlignment="1">
      <alignment vertical="center" wrapText="1"/>
    </xf>
    <xf numFmtId="0" fontId="0" fillId="13" borderId="12" xfId="2" applyFont="1" applyFill="1" applyBorder="1" applyAlignment="1">
      <alignment horizontal="center" vertical="center" wrapText="1"/>
    </xf>
    <xf numFmtId="0" fontId="0" fillId="13" borderId="1" xfId="0" applyFill="1" applyBorder="1" applyAlignment="1">
      <alignment vertical="center" wrapText="1"/>
    </xf>
    <xf numFmtId="0" fontId="2" fillId="13" borderId="12" xfId="2" applyFill="1" applyBorder="1" applyAlignment="1">
      <alignment horizontal="center" vertical="center" wrapText="1"/>
    </xf>
    <xf numFmtId="0" fontId="1" fillId="2" borderId="84" xfId="0" applyFont="1" applyFill="1" applyBorder="1" applyAlignment="1">
      <alignment horizontal="center" vertical="center" wrapText="1"/>
    </xf>
    <xf numFmtId="0" fontId="2" fillId="6" borderId="12" xfId="2" applyFill="1" applyBorder="1" applyAlignment="1">
      <alignment horizontal="center" vertical="center" wrapText="1"/>
    </xf>
    <xf numFmtId="0" fontId="0" fillId="13" borderId="12" xfId="0" applyFill="1" applyBorder="1" applyAlignment="1">
      <alignment horizontal="center" wrapText="1"/>
    </xf>
    <xf numFmtId="0" fontId="5" fillId="2" borderId="85" xfId="0" applyFont="1" applyFill="1" applyBorder="1" applyAlignment="1">
      <alignment horizontal="center" vertical="center" wrapText="1"/>
    </xf>
    <xf numFmtId="0" fontId="5" fillId="2" borderId="86" xfId="0" applyFont="1" applyFill="1" applyBorder="1" applyAlignment="1">
      <alignment horizontal="center" vertical="center" wrapText="1"/>
    </xf>
    <xf numFmtId="0" fontId="2" fillId="13" borderId="86" xfId="2" applyFill="1" applyBorder="1" applyAlignment="1">
      <alignment horizontal="center" vertical="center" wrapText="1"/>
    </xf>
    <xf numFmtId="0" fontId="4" fillId="7" borderId="87" xfId="0" applyFont="1" applyFill="1" applyBorder="1" applyAlignment="1">
      <alignment vertical="center" wrapText="1"/>
    </xf>
    <xf numFmtId="0" fontId="4" fillId="7" borderId="68" xfId="0" applyFont="1" applyFill="1" applyBorder="1" applyAlignment="1">
      <alignment vertical="center" wrapText="1"/>
    </xf>
    <xf numFmtId="0" fontId="4" fillId="7" borderId="68" xfId="0" quotePrefix="1" applyFont="1" applyFill="1" applyBorder="1" applyAlignment="1">
      <alignment vertical="center" wrapText="1"/>
    </xf>
    <xf numFmtId="0" fontId="4" fillId="7" borderId="68" xfId="0" applyFont="1" applyFill="1" applyBorder="1" applyAlignment="1">
      <alignment horizontal="left" vertical="center" wrapText="1"/>
    </xf>
    <xf numFmtId="0" fontId="4" fillId="13" borderId="68" xfId="0" applyFont="1" applyFill="1" applyBorder="1" applyAlignment="1">
      <alignment vertical="center" wrapText="1"/>
    </xf>
    <xf numFmtId="0" fontId="4" fillId="8" borderId="12" xfId="0" applyFont="1" applyFill="1" applyBorder="1" applyAlignment="1">
      <alignment vertical="center" wrapText="1"/>
    </xf>
    <xf numFmtId="0" fontId="2" fillId="8" borderId="12" xfId="2" applyFill="1" applyBorder="1" applyAlignment="1">
      <alignment vertical="center" wrapText="1"/>
    </xf>
    <xf numFmtId="0" fontId="5" fillId="0" borderId="13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5" fillId="0" borderId="24" xfId="0" applyFont="1" applyBorder="1" applyAlignment="1">
      <alignment horizontal="center" vertical="center" wrapText="1"/>
    </xf>
    <xf numFmtId="0" fontId="0" fillId="13" borderId="12" xfId="0" applyFill="1" applyBorder="1"/>
    <xf numFmtId="0" fontId="0" fillId="13" borderId="12" xfId="0" applyFill="1" applyBorder="1" applyAlignment="1">
      <alignment vertical="center" wrapText="1"/>
    </xf>
    <xf numFmtId="0" fontId="5" fillId="2" borderId="73" xfId="0" applyFont="1" applyFill="1" applyBorder="1" applyAlignment="1">
      <alignment horizontal="center" vertical="center" wrapText="1"/>
    </xf>
    <xf numFmtId="0" fontId="0" fillId="13" borderId="12" xfId="0" applyFill="1" applyBorder="1" applyAlignment="1">
      <alignment horizontal="left" vertical="center" wrapText="1"/>
    </xf>
    <xf numFmtId="0" fontId="2" fillId="13" borderId="21" xfId="2" applyFill="1" applyBorder="1" applyAlignment="1">
      <alignment vertical="center" wrapText="1"/>
    </xf>
    <xf numFmtId="0" fontId="0" fillId="13" borderId="26" xfId="0" applyFill="1" applyBorder="1"/>
    <xf numFmtId="0" fontId="0" fillId="13" borderId="26" xfId="0" applyFill="1" applyBorder="1" applyAlignment="1">
      <alignment vertical="center" wrapText="1"/>
    </xf>
    <xf numFmtId="0" fontId="1" fillId="6" borderId="15" xfId="0" applyFont="1" applyFill="1" applyBorder="1" applyAlignment="1">
      <alignment horizontal="center" wrapText="1"/>
    </xf>
    <xf numFmtId="0" fontId="1" fillId="6" borderId="16" xfId="0" applyFont="1" applyFill="1" applyBorder="1" applyAlignment="1">
      <alignment horizontal="center" wrapText="1"/>
    </xf>
    <xf numFmtId="0" fontId="0" fillId="2" borderId="21" xfId="0" applyFill="1" applyBorder="1" applyAlignment="1">
      <alignment horizontal="left" vertical="center" wrapText="1"/>
    </xf>
    <xf numFmtId="0" fontId="0" fillId="2" borderId="16" xfId="0" applyFill="1" applyBorder="1" applyAlignment="1">
      <alignment horizontal="left" vertical="center" wrapText="1"/>
    </xf>
    <xf numFmtId="0" fontId="1" fillId="2" borderId="14" xfId="0" applyFont="1" applyFill="1" applyBorder="1" applyAlignment="1">
      <alignment horizontal="center" vertical="center"/>
    </xf>
    <xf numFmtId="0" fontId="2" fillId="0" borderId="0" xfId="1" applyAlignment="1">
      <alignment horizontal="left" vertical="center"/>
    </xf>
    <xf numFmtId="0" fontId="4" fillId="6" borderId="1" xfId="0" applyFont="1" applyFill="1" applyBorder="1" applyAlignment="1">
      <alignment horizontal="left" vertical="center"/>
    </xf>
    <xf numFmtId="0" fontId="4" fillId="6" borderId="1" xfId="0" applyFont="1" applyFill="1" applyBorder="1" applyAlignment="1">
      <alignment horizontal="left" vertical="center" wrapText="1"/>
    </xf>
    <xf numFmtId="0" fontId="5" fillId="9" borderId="47" xfId="0" applyFont="1" applyFill="1" applyBorder="1" applyAlignment="1">
      <alignment horizontal="center" vertical="center"/>
    </xf>
    <xf numFmtId="0" fontId="5" fillId="9" borderId="48" xfId="0" applyFont="1" applyFill="1" applyBorder="1" applyAlignment="1">
      <alignment horizontal="center" vertical="center"/>
    </xf>
    <xf numFmtId="0" fontId="5" fillId="9" borderId="49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4" fillId="8" borderId="55" xfId="0" applyFont="1" applyFill="1" applyBorder="1" applyAlignment="1">
      <alignment vertical="center"/>
    </xf>
    <xf numFmtId="0" fontId="4" fillId="8" borderId="56" xfId="0" applyFont="1" applyFill="1" applyBorder="1" applyAlignment="1">
      <alignment vertical="center"/>
    </xf>
    <xf numFmtId="0" fontId="4" fillId="8" borderId="26" xfId="0" applyFont="1" applyFill="1" applyBorder="1" applyAlignment="1">
      <alignment horizontal="center" vertical="center" wrapText="1"/>
    </xf>
    <xf numFmtId="0" fontId="4" fillId="8" borderId="46" xfId="0" applyFont="1" applyFill="1" applyBorder="1" applyAlignment="1">
      <alignment horizontal="center" vertical="center" wrapText="1"/>
    </xf>
    <xf numFmtId="0" fontId="2" fillId="12" borderId="12" xfId="2" applyFill="1" applyBorder="1" applyAlignment="1">
      <alignment horizontal="center" vertical="center" wrapText="1"/>
    </xf>
    <xf numFmtId="0" fontId="0" fillId="12" borderId="12" xfId="0" applyFill="1" applyBorder="1" applyAlignment="1">
      <alignment horizontal="center" vertical="center" wrapText="1"/>
    </xf>
    <xf numFmtId="0" fontId="7" fillId="12" borderId="12" xfId="0" applyFont="1" applyFill="1" applyBorder="1" applyAlignment="1">
      <alignment horizontal="center" vertical="center" wrapText="1"/>
    </xf>
    <xf numFmtId="0" fontId="0" fillId="12" borderId="26" xfId="0" applyFill="1" applyBorder="1" applyAlignment="1">
      <alignment horizontal="center" vertical="center" wrapText="1"/>
    </xf>
    <xf numFmtId="0" fontId="0" fillId="12" borderId="37" xfId="0" applyFill="1" applyBorder="1" applyAlignment="1">
      <alignment horizontal="center" vertical="center" wrapText="1"/>
    </xf>
    <xf numFmtId="0" fontId="0" fillId="12" borderId="46" xfId="0" applyFill="1" applyBorder="1" applyAlignment="1">
      <alignment horizontal="center" vertical="center" wrapText="1"/>
    </xf>
    <xf numFmtId="0" fontId="2" fillId="12" borderId="30" xfId="2" applyFill="1" applyBorder="1" applyAlignment="1">
      <alignment horizontal="center" vertical="center" wrapText="1"/>
    </xf>
    <xf numFmtId="0" fontId="2" fillId="12" borderId="38" xfId="2" applyFill="1" applyBorder="1" applyAlignment="1">
      <alignment horizontal="center" vertical="center" wrapText="1"/>
    </xf>
    <xf numFmtId="0" fontId="2" fillId="12" borderId="41" xfId="2" applyFill="1" applyBorder="1" applyAlignment="1">
      <alignment horizontal="center" vertical="center" wrapText="1"/>
    </xf>
    <xf numFmtId="0" fontId="2" fillId="12" borderId="42" xfId="2" applyFill="1" applyBorder="1" applyAlignment="1">
      <alignment horizontal="center" vertical="center" wrapText="1"/>
    </xf>
    <xf numFmtId="0" fontId="2" fillId="12" borderId="43" xfId="2" applyFill="1" applyBorder="1" applyAlignment="1">
      <alignment horizontal="center" vertical="center" wrapText="1"/>
    </xf>
    <xf numFmtId="0" fontId="2" fillId="12" borderId="45" xfId="2" applyFill="1" applyBorder="1" applyAlignment="1">
      <alignment horizontal="center" vertical="center" wrapText="1"/>
    </xf>
    <xf numFmtId="0" fontId="0" fillId="12" borderId="30" xfId="0" applyFill="1" applyBorder="1" applyAlignment="1">
      <alignment horizontal="center" vertical="center" wrapText="1"/>
    </xf>
    <xf numFmtId="0" fontId="0" fillId="12" borderId="40" xfId="0" applyFill="1" applyBorder="1" applyAlignment="1">
      <alignment horizontal="center" vertical="center" wrapText="1"/>
    </xf>
    <xf numFmtId="0" fontId="0" fillId="12" borderId="38" xfId="0" applyFill="1" applyBorder="1" applyAlignment="1">
      <alignment horizontal="center" vertical="center" wrapText="1"/>
    </xf>
    <xf numFmtId="0" fontId="0" fillId="12" borderId="41" xfId="0" applyFill="1" applyBorder="1" applyAlignment="1">
      <alignment horizontal="center" vertical="center" wrapText="1"/>
    </xf>
    <xf numFmtId="0" fontId="0" fillId="12" borderId="0" xfId="0" applyFill="1" applyAlignment="1">
      <alignment horizontal="center" vertical="center" wrapText="1"/>
    </xf>
    <xf numFmtId="0" fontId="0" fillId="12" borderId="42" xfId="0" applyFill="1" applyBorder="1" applyAlignment="1">
      <alignment horizontal="center" vertical="center" wrapText="1"/>
    </xf>
    <xf numFmtId="0" fontId="0" fillId="12" borderId="43" xfId="0" applyFill="1" applyBorder="1" applyAlignment="1">
      <alignment horizontal="center" vertical="center" wrapText="1"/>
    </xf>
    <xf numFmtId="0" fontId="0" fillId="12" borderId="44" xfId="0" applyFill="1" applyBorder="1" applyAlignment="1">
      <alignment horizontal="center" vertical="center" wrapText="1"/>
    </xf>
    <xf numFmtId="0" fontId="0" fillId="12" borderId="45" xfId="0" applyFill="1" applyBorder="1" applyAlignment="1">
      <alignment horizontal="center" vertical="center" wrapText="1"/>
    </xf>
    <xf numFmtId="0" fontId="2" fillId="13" borderId="40" xfId="2" applyFill="1" applyBorder="1" applyAlignment="1">
      <alignment horizontal="center" vertical="center" wrapText="1"/>
    </xf>
    <xf numFmtId="0" fontId="2" fillId="13" borderId="38" xfId="2" applyFill="1" applyBorder="1" applyAlignment="1">
      <alignment horizontal="center" vertical="center" wrapText="1"/>
    </xf>
    <xf numFmtId="0" fontId="2" fillId="13" borderId="0" xfId="2" applyFill="1" applyBorder="1" applyAlignment="1">
      <alignment horizontal="center" vertical="center" wrapText="1"/>
    </xf>
    <xf numFmtId="0" fontId="2" fillId="13" borderId="42" xfId="2" applyFill="1" applyBorder="1" applyAlignment="1">
      <alignment horizontal="center" vertical="center" wrapText="1"/>
    </xf>
    <xf numFmtId="0" fontId="2" fillId="13" borderId="44" xfId="2" applyFill="1" applyBorder="1" applyAlignment="1">
      <alignment horizontal="center" vertical="center" wrapText="1"/>
    </xf>
    <xf numFmtId="0" fontId="2" fillId="13" borderId="45" xfId="2" applyFill="1" applyBorder="1" applyAlignment="1">
      <alignment horizontal="center" vertical="center" wrapText="1"/>
    </xf>
    <xf numFmtId="0" fontId="2" fillId="13" borderId="30" xfId="2" applyFill="1" applyBorder="1" applyAlignment="1">
      <alignment horizontal="center" vertical="center" wrapText="1"/>
    </xf>
    <xf numFmtId="0" fontId="2" fillId="13" borderId="41" xfId="2" applyFill="1" applyBorder="1" applyAlignment="1">
      <alignment horizontal="center" vertical="center" wrapText="1"/>
    </xf>
    <xf numFmtId="0" fontId="2" fillId="13" borderId="43" xfId="2" applyFill="1" applyBorder="1" applyAlignment="1">
      <alignment horizontal="center" vertical="center" wrapText="1"/>
    </xf>
    <xf numFmtId="0" fontId="0" fillId="13" borderId="12" xfId="0" applyFill="1" applyBorder="1" applyAlignment="1">
      <alignment horizontal="center" vertical="center" wrapText="1"/>
    </xf>
    <xf numFmtId="0" fontId="2" fillId="13" borderId="12" xfId="2" applyFill="1" applyBorder="1" applyAlignment="1">
      <alignment horizontal="center" vertical="center" wrapText="1"/>
    </xf>
    <xf numFmtId="0" fontId="6" fillId="13" borderId="12" xfId="1" applyFont="1" applyFill="1" applyBorder="1" applyAlignment="1">
      <alignment horizontal="center" vertical="center" wrapText="1"/>
    </xf>
    <xf numFmtId="0" fontId="0" fillId="13" borderId="26" xfId="0" applyFill="1" applyBorder="1" applyAlignment="1">
      <alignment horizontal="center" vertical="center" wrapText="1"/>
    </xf>
    <xf numFmtId="0" fontId="6" fillId="13" borderId="12" xfId="2" applyFont="1" applyFill="1" applyBorder="1" applyAlignment="1">
      <alignment horizontal="center" vertical="center" wrapText="1"/>
    </xf>
    <xf numFmtId="0" fontId="6" fillId="13" borderId="26" xfId="2" applyFont="1" applyFill="1" applyBorder="1" applyAlignment="1">
      <alignment horizontal="center" vertical="center" wrapText="1"/>
    </xf>
    <xf numFmtId="0" fontId="2" fillId="13" borderId="26" xfId="2" applyFill="1" applyBorder="1" applyAlignment="1">
      <alignment horizontal="center" vertical="center" wrapText="1"/>
    </xf>
    <xf numFmtId="0" fontId="6" fillId="13" borderId="26" xfId="1" applyFont="1" applyFill="1" applyBorder="1" applyAlignment="1">
      <alignment horizontal="center" vertical="center" wrapText="1"/>
    </xf>
    <xf numFmtId="0" fontId="2" fillId="0" borderId="0" xfId="1" applyAlignment="1">
      <alignment horizontal="left" vertical="center" wrapText="1"/>
    </xf>
    <xf numFmtId="0" fontId="4" fillId="6" borderId="21" xfId="0" applyFont="1" applyFill="1" applyBorder="1" applyAlignment="1">
      <alignment horizontal="left" vertical="center" wrapText="1"/>
    </xf>
    <xf numFmtId="0" fontId="4" fillId="6" borderId="12" xfId="0" applyFont="1" applyFill="1" applyBorder="1" applyAlignment="1">
      <alignment horizontal="left" vertical="center" wrapText="1"/>
    </xf>
    <xf numFmtId="0" fontId="5" fillId="9" borderId="47" xfId="0" applyFont="1" applyFill="1" applyBorder="1" applyAlignment="1">
      <alignment horizontal="center" vertical="center" wrapText="1"/>
    </xf>
    <xf numFmtId="0" fontId="5" fillId="9" borderId="48" xfId="0" applyFont="1" applyFill="1" applyBorder="1" applyAlignment="1">
      <alignment horizontal="center" vertical="center" wrapText="1"/>
    </xf>
    <xf numFmtId="0" fontId="5" fillId="9" borderId="49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 wrapText="1"/>
    </xf>
    <xf numFmtId="0" fontId="4" fillId="8" borderId="55" xfId="0" applyFont="1" applyFill="1" applyBorder="1" applyAlignment="1">
      <alignment horizontal="center" vertical="center" wrapText="1"/>
    </xf>
    <xf numFmtId="0" fontId="4" fillId="8" borderId="56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2" fillId="13" borderId="12" xfId="1" applyFill="1" applyBorder="1" applyAlignment="1">
      <alignment horizontal="center" vertical="center" wrapText="1"/>
    </xf>
    <xf numFmtId="0" fontId="0" fillId="6" borderId="14" xfId="0" applyFill="1" applyBorder="1" applyAlignment="1">
      <alignment horizontal="center" vertical="center" wrapText="1"/>
    </xf>
    <xf numFmtId="0" fontId="0" fillId="6" borderId="67" xfId="0" applyFill="1" applyBorder="1" applyAlignment="1">
      <alignment horizontal="center" vertical="center" wrapText="1"/>
    </xf>
    <xf numFmtId="0" fontId="0" fillId="6" borderId="68" xfId="0" applyFill="1" applyBorder="1" applyAlignment="1">
      <alignment horizontal="center" vertical="center" wrapText="1"/>
    </xf>
    <xf numFmtId="0" fontId="2" fillId="6" borderId="14" xfId="1" applyFill="1" applyBorder="1" applyAlignment="1">
      <alignment horizontal="center" vertical="center" wrapText="1"/>
    </xf>
    <xf numFmtId="0" fontId="2" fillId="6" borderId="67" xfId="1" applyFill="1" applyBorder="1" applyAlignment="1">
      <alignment horizontal="center" vertical="center" wrapText="1"/>
    </xf>
    <xf numFmtId="0" fontId="2" fillId="6" borderId="68" xfId="1" applyFill="1" applyBorder="1" applyAlignment="1">
      <alignment horizontal="center" vertical="center" wrapText="1"/>
    </xf>
    <xf numFmtId="0" fontId="0" fillId="6" borderId="25" xfId="0" applyFill="1" applyBorder="1" applyAlignment="1">
      <alignment horizontal="center" vertical="center" wrapText="1"/>
    </xf>
    <xf numFmtId="0" fontId="0" fillId="6" borderId="63" xfId="0" applyFill="1" applyBorder="1" applyAlignment="1">
      <alignment horizontal="center" vertical="center" wrapText="1"/>
    </xf>
    <xf numFmtId="0" fontId="0" fillId="6" borderId="60" xfId="0" applyFill="1" applyBorder="1" applyAlignment="1">
      <alignment horizontal="center" vertical="center" wrapText="1"/>
    </xf>
    <xf numFmtId="0" fontId="0" fillId="6" borderId="64" xfId="0" applyFill="1" applyBorder="1" applyAlignment="1">
      <alignment horizontal="center" vertical="center" wrapText="1"/>
    </xf>
    <xf numFmtId="0" fontId="0" fillId="6" borderId="0" xfId="0" applyFill="1" applyAlignment="1">
      <alignment horizontal="center" vertical="center" wrapText="1"/>
    </xf>
    <xf numFmtId="0" fontId="0" fillId="6" borderId="62" xfId="0" applyFill="1" applyBorder="1" applyAlignment="1">
      <alignment horizontal="center" vertical="center" wrapText="1"/>
    </xf>
    <xf numFmtId="0" fontId="0" fillId="6" borderId="65" xfId="0" applyFill="1" applyBorder="1" applyAlignment="1">
      <alignment horizontal="center" vertical="center" wrapText="1"/>
    </xf>
    <xf numFmtId="0" fontId="0" fillId="6" borderId="66" xfId="0" applyFill="1" applyBorder="1" applyAlignment="1">
      <alignment horizontal="center" vertical="center" wrapText="1"/>
    </xf>
    <xf numFmtId="0" fontId="0" fillId="6" borderId="11" xfId="0" applyFill="1" applyBorder="1" applyAlignment="1">
      <alignment horizontal="center" vertical="center" wrapText="1"/>
    </xf>
    <xf numFmtId="0" fontId="2" fillId="6" borderId="59" xfId="2" applyFill="1" applyBorder="1" applyAlignment="1">
      <alignment horizontal="center" vertical="center" wrapText="1"/>
    </xf>
    <xf numFmtId="0" fontId="2" fillId="6" borderId="60" xfId="2" applyFill="1" applyBorder="1" applyAlignment="1">
      <alignment horizontal="center" vertical="center" wrapText="1"/>
    </xf>
    <xf numFmtId="0" fontId="2" fillId="6" borderId="61" xfId="2" applyFill="1" applyBorder="1" applyAlignment="1">
      <alignment horizontal="center" vertical="center" wrapText="1"/>
    </xf>
    <xf numFmtId="0" fontId="2" fillId="6" borderId="62" xfId="2" applyFill="1" applyBorder="1" applyAlignment="1">
      <alignment horizontal="center" vertical="center" wrapText="1"/>
    </xf>
    <xf numFmtId="0" fontId="2" fillId="6" borderId="10" xfId="2" applyFill="1" applyBorder="1" applyAlignment="1">
      <alignment horizontal="center" vertical="center" wrapText="1"/>
    </xf>
    <xf numFmtId="0" fontId="2" fillId="6" borderId="11" xfId="2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5" fillId="9" borderId="2" xfId="0" applyFont="1" applyFill="1" applyBorder="1" applyAlignment="1">
      <alignment horizontal="center" vertical="center" wrapText="1"/>
    </xf>
    <xf numFmtId="0" fontId="5" fillId="9" borderId="3" xfId="0" applyFont="1" applyFill="1" applyBorder="1" applyAlignment="1">
      <alignment horizontal="center" vertical="center" wrapText="1"/>
    </xf>
    <xf numFmtId="0" fontId="5" fillId="9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4" fillId="8" borderId="13" xfId="0" applyFont="1" applyFill="1" applyBorder="1" applyAlignment="1">
      <alignment horizontal="center" vertical="center" wrapText="1"/>
    </xf>
    <xf numFmtId="0" fontId="4" fillId="8" borderId="57" xfId="0" applyFont="1" applyFill="1" applyBorder="1" applyAlignment="1">
      <alignment horizontal="center" vertical="center" wrapText="1"/>
    </xf>
    <xf numFmtId="0" fontId="4" fillId="8" borderId="14" xfId="0" applyFont="1" applyFill="1" applyBorder="1" applyAlignment="1">
      <alignment horizontal="center" vertical="center" wrapText="1"/>
    </xf>
    <xf numFmtId="0" fontId="4" fillId="8" borderId="58" xfId="0" applyFont="1" applyFill="1" applyBorder="1" applyAlignment="1">
      <alignment horizontal="center" vertical="center" wrapText="1"/>
    </xf>
    <xf numFmtId="0" fontId="1" fillId="2" borderId="29" xfId="0" applyFont="1" applyFill="1" applyBorder="1" applyAlignment="1">
      <alignment horizontal="center" vertical="center" wrapText="1"/>
    </xf>
    <xf numFmtId="0" fontId="1" fillId="2" borderId="81" xfId="0" applyFont="1" applyFill="1" applyBorder="1" applyAlignment="1">
      <alignment horizontal="center" vertical="center" wrapText="1"/>
    </xf>
    <xf numFmtId="0" fontId="1" fillId="2" borderId="69" xfId="0" applyFont="1" applyFill="1" applyBorder="1" applyAlignment="1">
      <alignment horizontal="center" vertical="center" wrapText="1"/>
    </xf>
    <xf numFmtId="0" fontId="1" fillId="2" borderId="70" xfId="0" applyFont="1" applyFill="1" applyBorder="1" applyAlignment="1">
      <alignment horizontal="center" vertical="center" wrapText="1"/>
    </xf>
    <xf numFmtId="0" fontId="1" fillId="2" borderId="71" xfId="0" applyFont="1" applyFill="1" applyBorder="1" applyAlignment="1">
      <alignment horizontal="center" vertical="center" wrapText="1"/>
    </xf>
    <xf numFmtId="0" fontId="1" fillId="2" borderId="72" xfId="0" applyFont="1" applyFill="1" applyBorder="1" applyAlignment="1">
      <alignment horizontal="center" vertical="center" wrapText="1"/>
    </xf>
    <xf numFmtId="0" fontId="1" fillId="2" borderId="73" xfId="0" applyFont="1" applyFill="1" applyBorder="1" applyAlignment="1">
      <alignment horizontal="center" vertical="center" wrapText="1"/>
    </xf>
    <xf numFmtId="0" fontId="1" fillId="2" borderId="74" xfId="0" applyFont="1" applyFill="1" applyBorder="1" applyAlignment="1">
      <alignment horizontal="center" vertical="center" wrapText="1"/>
    </xf>
    <xf numFmtId="0" fontId="1" fillId="2" borderId="75" xfId="0" applyFont="1" applyFill="1" applyBorder="1" applyAlignment="1">
      <alignment horizontal="center" vertical="center" wrapText="1"/>
    </xf>
    <xf numFmtId="0" fontId="1" fillId="2" borderId="44" xfId="0" applyFont="1" applyFill="1" applyBorder="1" applyAlignment="1">
      <alignment horizontal="center" vertical="center" wrapText="1"/>
    </xf>
    <xf numFmtId="0" fontId="1" fillId="2" borderId="77" xfId="0" applyFont="1" applyFill="1" applyBorder="1" applyAlignment="1">
      <alignment horizontal="center" vertical="center" wrapText="1"/>
    </xf>
    <xf numFmtId="0" fontId="1" fillId="2" borderId="76" xfId="0" applyFont="1" applyFill="1" applyBorder="1" applyAlignment="1">
      <alignment horizontal="center" vertical="center" wrapText="1"/>
    </xf>
    <xf numFmtId="0" fontId="1" fillId="2" borderId="78" xfId="0" applyFont="1" applyFill="1" applyBorder="1" applyAlignment="1">
      <alignment horizontal="center" vertical="center" wrapText="1"/>
    </xf>
    <xf numFmtId="0" fontId="1" fillId="2" borderId="79" xfId="0" applyFont="1" applyFill="1" applyBorder="1" applyAlignment="1">
      <alignment horizontal="center" vertical="center" wrapText="1"/>
    </xf>
    <xf numFmtId="0" fontId="1" fillId="2" borderId="80" xfId="0" applyFont="1" applyFill="1" applyBorder="1" applyAlignment="1">
      <alignment horizontal="center" vertical="center" wrapText="1"/>
    </xf>
    <xf numFmtId="0" fontId="8" fillId="11" borderId="12" xfId="0" applyFont="1" applyFill="1" applyBorder="1" applyAlignment="1">
      <alignment horizontal="center" vertical="center" wrapText="1"/>
    </xf>
    <xf numFmtId="0" fontId="0" fillId="13" borderId="37" xfId="0" applyFill="1" applyBorder="1" applyAlignment="1">
      <alignment horizontal="center" vertical="center" wrapText="1"/>
    </xf>
    <xf numFmtId="0" fontId="0" fillId="13" borderId="46" xfId="0" applyFill="1" applyBorder="1" applyAlignment="1">
      <alignment horizontal="center" vertical="center" wrapText="1"/>
    </xf>
    <xf numFmtId="0" fontId="0" fillId="13" borderId="30" xfId="0" applyFill="1" applyBorder="1" applyAlignment="1">
      <alignment horizontal="center" vertical="center" wrapText="1"/>
    </xf>
    <xf numFmtId="0" fontId="0" fillId="13" borderId="40" xfId="0" applyFill="1" applyBorder="1" applyAlignment="1">
      <alignment horizontal="center" vertical="center" wrapText="1"/>
    </xf>
    <xf numFmtId="0" fontId="0" fillId="13" borderId="38" xfId="0" applyFill="1" applyBorder="1" applyAlignment="1">
      <alignment horizontal="center" vertical="center" wrapText="1"/>
    </xf>
    <xf numFmtId="0" fontId="0" fillId="13" borderId="41" xfId="0" applyFill="1" applyBorder="1" applyAlignment="1">
      <alignment horizontal="center" vertical="center" wrapText="1"/>
    </xf>
    <xf numFmtId="0" fontId="0" fillId="13" borderId="0" xfId="0" applyFill="1" applyAlignment="1">
      <alignment horizontal="center" vertical="center" wrapText="1"/>
    </xf>
    <xf numFmtId="0" fontId="0" fillId="13" borderId="42" xfId="0" applyFill="1" applyBorder="1" applyAlignment="1">
      <alignment horizontal="center" vertical="center" wrapText="1"/>
    </xf>
    <xf numFmtId="0" fontId="0" fillId="13" borderId="43" xfId="0" applyFill="1" applyBorder="1" applyAlignment="1">
      <alignment horizontal="center" vertical="center" wrapText="1"/>
    </xf>
    <xf numFmtId="0" fontId="0" fillId="13" borderId="44" xfId="0" applyFill="1" applyBorder="1" applyAlignment="1">
      <alignment horizontal="center" vertical="center" wrapText="1"/>
    </xf>
    <xf numFmtId="0" fontId="0" fillId="13" borderId="45" xfId="0" applyFill="1" applyBorder="1" applyAlignment="1">
      <alignment horizontal="center" vertical="center" wrapText="1"/>
    </xf>
    <xf numFmtId="0" fontId="8" fillId="11" borderId="27" xfId="0" applyFont="1" applyFill="1" applyBorder="1" applyAlignment="1">
      <alignment horizontal="center" vertical="center" wrapText="1"/>
    </xf>
    <xf numFmtId="0" fontId="8" fillId="11" borderId="82" xfId="0" applyFont="1" applyFill="1" applyBorder="1" applyAlignment="1">
      <alignment horizontal="center" vertical="center" wrapText="1"/>
    </xf>
    <xf numFmtId="0" fontId="8" fillId="11" borderId="28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13" borderId="12" xfId="0" applyFill="1" applyBorder="1" applyAlignment="1">
      <alignment horizontal="center"/>
    </xf>
    <xf numFmtId="0" fontId="0" fillId="13" borderId="26" xfId="0" applyFill="1" applyBorder="1" applyAlignment="1">
      <alignment horizontal="center"/>
    </xf>
    <xf numFmtId="0" fontId="0" fillId="13" borderId="12" xfId="1" applyFont="1" applyFill="1" applyBorder="1" applyAlignment="1">
      <alignment horizontal="center" vertical="center" wrapText="1"/>
    </xf>
    <xf numFmtId="0" fontId="0" fillId="13" borderId="26" xfId="1" applyFont="1" applyFill="1" applyBorder="1" applyAlignment="1">
      <alignment horizontal="center" vertical="center" wrapText="1"/>
    </xf>
    <xf numFmtId="0" fontId="1" fillId="2" borderId="15" xfId="0" applyFont="1" applyFill="1" applyBorder="1" applyAlignment="1">
      <alignment horizontal="center" vertical="center" wrapText="1"/>
    </xf>
    <xf numFmtId="0" fontId="1" fillId="2" borderId="21" xfId="0" applyFont="1" applyFill="1" applyBorder="1" applyAlignment="1">
      <alignment horizontal="center" vertical="center" wrapText="1"/>
    </xf>
    <xf numFmtId="0" fontId="1" fillId="2" borderId="36" xfId="0" applyFont="1" applyFill="1" applyBorder="1" applyAlignment="1">
      <alignment horizontal="center" vertical="center" wrapText="1"/>
    </xf>
    <xf numFmtId="0" fontId="1" fillId="2" borderId="26" xfId="0" applyFont="1" applyFill="1" applyBorder="1" applyAlignment="1">
      <alignment horizontal="center" vertical="center" wrapText="1"/>
    </xf>
    <xf numFmtId="0" fontId="1" fillId="2" borderId="16" xfId="0" applyFont="1" applyFill="1" applyBorder="1" applyAlignment="1">
      <alignment horizontal="center" vertical="center" wrapText="1"/>
    </xf>
    <xf numFmtId="0" fontId="0" fillId="13" borderId="12" xfId="0" applyFill="1" applyBorder="1" applyAlignment="1">
      <alignment horizontal="center" vertical="center"/>
    </xf>
    <xf numFmtId="0" fontId="0" fillId="13" borderId="12" xfId="1" applyFont="1" applyFill="1" applyBorder="1" applyAlignment="1">
      <alignment horizontal="center" vertical="center"/>
    </xf>
    <xf numFmtId="0" fontId="4" fillId="6" borderId="14" xfId="0" applyFont="1" applyFill="1" applyBorder="1" applyAlignment="1">
      <alignment horizontal="left" vertical="center" wrapText="1"/>
    </xf>
    <xf numFmtId="0" fontId="1" fillId="2" borderId="33" xfId="0" applyFont="1" applyFill="1" applyBorder="1" applyAlignment="1">
      <alignment horizontal="center" vertical="center" wrapText="1"/>
    </xf>
    <xf numFmtId="0" fontId="1" fillId="2" borderId="35" xfId="0" applyFont="1" applyFill="1" applyBorder="1" applyAlignment="1">
      <alignment horizontal="center" vertical="center" wrapText="1"/>
    </xf>
    <xf numFmtId="0" fontId="1" fillId="2" borderId="83" xfId="0" applyFont="1" applyFill="1" applyBorder="1" applyAlignment="1">
      <alignment horizontal="center" vertical="center" wrapText="1"/>
    </xf>
    <xf numFmtId="0" fontId="0" fillId="6" borderId="12" xfId="1" applyFont="1" applyFill="1" applyBorder="1" applyAlignment="1">
      <alignment horizontal="center" vertical="center" wrapText="1"/>
    </xf>
    <xf numFmtId="0" fontId="0" fillId="6" borderId="12" xfId="0" applyFill="1" applyBorder="1" applyAlignment="1">
      <alignment horizontal="center" vertical="center" wrapText="1"/>
    </xf>
    <xf numFmtId="0" fontId="1" fillId="2" borderId="34" xfId="0" applyFont="1" applyFill="1" applyBorder="1" applyAlignment="1">
      <alignment horizontal="center" vertical="center" wrapText="1"/>
    </xf>
    <xf numFmtId="0" fontId="2" fillId="6" borderId="12" xfId="2" applyFill="1" applyBorder="1" applyAlignment="1">
      <alignment horizontal="center" vertical="center" wrapText="1"/>
    </xf>
    <xf numFmtId="0" fontId="6" fillId="6" borderId="12" xfId="1" applyFont="1" applyFill="1" applyBorder="1" applyAlignment="1">
      <alignment horizontal="center" vertical="center" wrapText="1"/>
    </xf>
    <xf numFmtId="0" fontId="5" fillId="9" borderId="2" xfId="0" applyFont="1" applyFill="1" applyBorder="1" applyAlignment="1">
      <alignment horizontal="center" vertical="center"/>
    </xf>
    <xf numFmtId="0" fontId="5" fillId="9" borderId="3" xfId="0" applyFont="1" applyFill="1" applyBorder="1" applyAlignment="1">
      <alignment horizontal="center" vertical="center"/>
    </xf>
    <xf numFmtId="0" fontId="5" fillId="9" borderId="4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6" borderId="5" xfId="1" applyFill="1" applyBorder="1" applyAlignment="1">
      <alignment horizontal="left" vertical="center"/>
    </xf>
    <xf numFmtId="0" fontId="2" fillId="6" borderId="1" xfId="1" applyFill="1" applyBorder="1" applyAlignment="1">
      <alignment horizontal="left" vertical="center"/>
    </xf>
    <xf numFmtId="0" fontId="0" fillId="6" borderId="1" xfId="0" applyFill="1" applyBorder="1" applyAlignment="1">
      <alignment horizontal="left" vertical="center" wrapText="1"/>
    </xf>
    <xf numFmtId="0" fontId="2" fillId="5" borderId="5" xfId="1" applyFill="1" applyBorder="1" applyAlignment="1">
      <alignment horizontal="left" vertical="center"/>
    </xf>
    <xf numFmtId="0" fontId="2" fillId="5" borderId="1" xfId="1" applyFill="1" applyBorder="1" applyAlignment="1">
      <alignment horizontal="left" vertical="center"/>
    </xf>
    <xf numFmtId="0" fontId="0" fillId="5" borderId="1" xfId="0" applyFill="1" applyBorder="1" applyAlignment="1">
      <alignment horizontal="left" vertical="center" wrapText="1"/>
    </xf>
    <xf numFmtId="0" fontId="0" fillId="5" borderId="1" xfId="0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 wrapText="1"/>
    </xf>
    <xf numFmtId="0" fontId="2" fillId="3" borderId="5" xfId="1" applyFill="1" applyBorder="1" applyAlignment="1">
      <alignment horizontal="left" vertical="center" wrapText="1"/>
    </xf>
    <xf numFmtId="0" fontId="2" fillId="3" borderId="1" xfId="1" applyFill="1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 wrapText="1"/>
    </xf>
    <xf numFmtId="0" fontId="0" fillId="3" borderId="1" xfId="0" applyFill="1" applyBorder="1" applyAlignment="1">
      <alignment horizontal="center" vertical="center" wrapText="1"/>
    </xf>
    <xf numFmtId="0" fontId="2" fillId="10" borderId="10" xfId="1" applyFill="1" applyBorder="1" applyAlignment="1">
      <alignment horizontal="left" vertical="center"/>
    </xf>
    <xf numFmtId="0" fontId="2" fillId="10" borderId="11" xfId="1" applyFill="1" applyBorder="1" applyAlignment="1">
      <alignment horizontal="left" vertical="center"/>
    </xf>
    <xf numFmtId="0" fontId="0" fillId="10" borderId="1" xfId="0" applyFill="1" applyBorder="1" applyAlignment="1">
      <alignment horizontal="left" vertical="center" wrapText="1"/>
    </xf>
    <xf numFmtId="0" fontId="0" fillId="13" borderId="37" xfId="1" applyFont="1" applyFill="1" applyBorder="1" applyAlignment="1">
      <alignment horizontal="center" vertical="center" wrapText="1"/>
    </xf>
    <xf numFmtId="0" fontId="0" fillId="13" borderId="46" xfId="1" applyFont="1" applyFill="1" applyBorder="1" applyAlignment="1">
      <alignment horizontal="center" vertical="center" wrapText="1"/>
    </xf>
    <xf numFmtId="0" fontId="0" fillId="13" borderId="0" xfId="0" applyFill="1" applyBorder="1" applyAlignment="1">
      <alignment horizontal="center" vertical="center" wrapText="1"/>
    </xf>
  </cellXfs>
  <cellStyles count="3">
    <cellStyle name="Hipervínculo" xfId="1" builtinId="8"/>
    <cellStyle name="Hyperlink" xfId="2" xr:uid="{00000000-000B-0000-0000-000008000000}"/>
    <cellStyle name="Normal" xfId="0" builtinId="0"/>
  </cellStyles>
  <dxfs count="0"/>
  <tableStyles count="0" defaultTableStyle="TableStyleMedium2" defaultPivotStyle="PivotStyleLight16"/>
  <colors>
    <mruColors>
      <color rgb="FFDDEBF7"/>
      <color rgb="FFE2EFDA"/>
      <color rgb="FFFFF2CC"/>
      <color rgb="FFD9D9D9"/>
      <color rgb="FFF9FAB9"/>
      <color rgb="FFF7B7C8"/>
      <color rgb="FFFF99FF"/>
      <color rgb="FFCCC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tmp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12</xdr:col>
      <xdr:colOff>352425</xdr:colOff>
      <xdr:row>34</xdr:row>
      <xdr:rowOff>104775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5815B4D6-C3CB-D4A1-3CD4-F91DF39EC4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9496425" cy="65817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FF4C49-240B-4036-BD62-669D42F23E67}">
  <dimension ref="A1"/>
  <sheetViews>
    <sheetView zoomScale="85" zoomScaleNormal="85" workbookViewId="0">
      <selection activeCell="O18" sqref="O18"/>
    </sheetView>
  </sheetViews>
  <sheetFormatPr defaultColWidth="11.42578125" defaultRowHeight="15"/>
  <cols>
    <col min="1" max="16384" width="11.42578125" style="3"/>
  </cols>
  <sheetData>
    <row r="1" spans="1:1">
      <c r="A1"/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D2CB1A-ACAF-48CA-A6AD-4DD0D3A676EA}">
  <dimension ref="A1:B15"/>
  <sheetViews>
    <sheetView workbookViewId="0">
      <selection activeCell="B25" sqref="B25"/>
    </sheetView>
  </sheetViews>
  <sheetFormatPr defaultColWidth="11.42578125" defaultRowHeight="15"/>
  <cols>
    <col min="1" max="1" width="16" style="101" bestFit="1" customWidth="1"/>
    <col min="2" max="2" width="55.85546875" style="101" customWidth="1"/>
    <col min="3" max="16384" width="11.42578125" style="101"/>
  </cols>
  <sheetData>
    <row r="1" spans="1:2">
      <c r="A1" s="189" t="s">
        <v>0</v>
      </c>
      <c r="B1" s="190"/>
    </row>
    <row r="2" spans="1:2">
      <c r="A2" s="107" t="s">
        <v>1</v>
      </c>
      <c r="B2" s="108" t="s">
        <v>2</v>
      </c>
    </row>
    <row r="3" spans="1:2">
      <c r="A3" s="102" t="s">
        <v>3</v>
      </c>
      <c r="B3" s="103" t="s">
        <v>4</v>
      </c>
    </row>
    <row r="4" spans="1:2">
      <c r="A4" s="102" t="s">
        <v>5</v>
      </c>
      <c r="B4" s="103" t="s">
        <v>6</v>
      </c>
    </row>
    <row r="5" spans="1:2">
      <c r="A5" s="104" t="s">
        <v>7</v>
      </c>
      <c r="B5" s="88" t="s">
        <v>8</v>
      </c>
    </row>
    <row r="6" spans="1:2">
      <c r="A6" s="104" t="s">
        <v>9</v>
      </c>
      <c r="B6" s="88" t="s">
        <v>10</v>
      </c>
    </row>
    <row r="7" spans="1:2" ht="32.25" customHeight="1">
      <c r="A7" s="104" t="s">
        <v>11</v>
      </c>
      <c r="B7" s="88" t="s">
        <v>12</v>
      </c>
    </row>
    <row r="8" spans="1:2" ht="30.75">
      <c r="A8" s="104" t="s">
        <v>13</v>
      </c>
      <c r="B8" s="88" t="s">
        <v>14</v>
      </c>
    </row>
    <row r="9" spans="1:2">
      <c r="A9" s="104" t="s">
        <v>15</v>
      </c>
      <c r="B9" s="88" t="s">
        <v>16</v>
      </c>
    </row>
    <row r="10" spans="1:2">
      <c r="A10" s="104" t="s">
        <v>17</v>
      </c>
      <c r="B10" s="88" t="s">
        <v>18</v>
      </c>
    </row>
    <row r="11" spans="1:2" ht="30.75">
      <c r="A11" s="104" t="s">
        <v>19</v>
      </c>
      <c r="B11" s="88" t="str">
        <f>_xlfn.CONCAT("Contexto perteneciente al ", A11)</f>
        <v>Contexto perteneciente al Componente Centralizador</v>
      </c>
    </row>
    <row r="12" spans="1:2">
      <c r="A12" s="104" t="s">
        <v>20</v>
      </c>
      <c r="B12" s="88" t="str">
        <f>_xlfn.CONCAT("Contexto perteneciente a ", A12)</f>
        <v>Contexto perteneciente a Lectura Crítica</v>
      </c>
    </row>
    <row r="13" spans="1:2">
      <c r="A13" s="104" t="s">
        <v>21</v>
      </c>
      <c r="B13" s="88" t="str">
        <f t="shared" ref="B13:B15" si="0">_xlfn.CONCAT("Contexto perteneciente a ", A13)</f>
        <v>Contexto perteneciente a Procrastinación</v>
      </c>
    </row>
    <row r="14" spans="1:2" ht="30.75">
      <c r="A14" s="104" t="s">
        <v>22</v>
      </c>
      <c r="B14" s="88" t="str">
        <f t="shared" si="0"/>
        <v>Contexto perteneciente a Control Inhibitorio</v>
      </c>
    </row>
    <row r="15" spans="1:2" ht="30.75">
      <c r="A15" s="105" t="s">
        <v>23</v>
      </c>
      <c r="B15" s="106" t="str">
        <f t="shared" si="0"/>
        <v>Contexto perteneciente a Razonamiento Cuantitativo</v>
      </c>
    </row>
  </sheetData>
  <mergeCells count="1">
    <mergeCell ref="A1:B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88B9D-0652-49D5-BF62-A59B793D6DFC}">
  <dimension ref="A1:I33"/>
  <sheetViews>
    <sheetView zoomScaleNormal="100" workbookViewId="0">
      <pane ySplit="2" topLeftCell="A8" activePane="bottomLeft" state="frozen"/>
      <selection pane="bottomLeft" activeCell="A17" sqref="A17"/>
    </sheetView>
  </sheetViews>
  <sheetFormatPr defaultColWidth="11.42578125" defaultRowHeight="15"/>
  <cols>
    <col min="1" max="1" width="23.42578125" style="57" bestFit="1" customWidth="1"/>
    <col min="2" max="2" width="56.28515625" style="57" bestFit="1" customWidth="1"/>
    <col min="3" max="3" width="11.42578125" style="57"/>
    <col min="4" max="4" width="17.28515625" style="57" customWidth="1"/>
    <col min="5" max="16384" width="11.42578125" style="57"/>
  </cols>
  <sheetData>
    <row r="1" spans="1:4">
      <c r="A1" s="133" t="s">
        <v>24</v>
      </c>
      <c r="B1" s="191"/>
      <c r="C1" s="191"/>
      <c r="D1" s="192"/>
    </row>
    <row r="2" spans="1:4">
      <c r="A2" s="134" t="s">
        <v>25</v>
      </c>
      <c r="B2" s="131" t="s">
        <v>2</v>
      </c>
      <c r="C2" s="132" t="s">
        <v>1</v>
      </c>
      <c r="D2" s="135" t="s">
        <v>26</v>
      </c>
    </row>
    <row r="3" spans="1:4" ht="30.75">
      <c r="A3" s="136" t="s">
        <v>27</v>
      </c>
      <c r="B3" s="58" t="s">
        <v>28</v>
      </c>
      <c r="C3" s="58" t="s">
        <v>3</v>
      </c>
      <c r="D3" s="73" t="s">
        <v>19</v>
      </c>
    </row>
    <row r="4" spans="1:4" ht="29.25" customHeight="1">
      <c r="A4" s="136" t="s">
        <v>29</v>
      </c>
      <c r="B4" s="58" t="s">
        <v>30</v>
      </c>
      <c r="C4" s="58" t="s">
        <v>3</v>
      </c>
      <c r="D4" s="73" t="s">
        <v>19</v>
      </c>
    </row>
    <row r="5" spans="1:4" ht="29.25" customHeight="1">
      <c r="A5" s="136" t="s">
        <v>31</v>
      </c>
      <c r="B5" s="58" t="s">
        <v>32</v>
      </c>
      <c r="C5" s="58" t="s">
        <v>3</v>
      </c>
      <c r="D5" s="73" t="s">
        <v>19</v>
      </c>
    </row>
    <row r="6" spans="1:4" ht="30.75">
      <c r="A6" s="136" t="s">
        <v>33</v>
      </c>
      <c r="B6" s="58" t="s">
        <v>34</v>
      </c>
      <c r="C6" s="58" t="s">
        <v>3</v>
      </c>
      <c r="D6" s="73" t="s">
        <v>19</v>
      </c>
    </row>
    <row r="7" spans="1:4" ht="30.75">
      <c r="A7" s="136" t="s">
        <v>35</v>
      </c>
      <c r="B7" s="58" t="s">
        <v>36</v>
      </c>
      <c r="C7" s="58" t="s">
        <v>3</v>
      </c>
      <c r="D7" s="73" t="s">
        <v>19</v>
      </c>
    </row>
    <row r="8" spans="1:4" ht="45.75">
      <c r="A8" s="136" t="s">
        <v>37</v>
      </c>
      <c r="B8" s="58" t="s">
        <v>38</v>
      </c>
      <c r="C8" s="58" t="s">
        <v>3</v>
      </c>
      <c r="D8" s="73" t="s">
        <v>19</v>
      </c>
    </row>
    <row r="9" spans="1:4" ht="30.75">
      <c r="A9" s="136" t="s">
        <v>39</v>
      </c>
      <c r="B9" s="58" t="s">
        <v>40</v>
      </c>
      <c r="C9" s="58" t="s">
        <v>3</v>
      </c>
      <c r="D9" s="73" t="s">
        <v>19</v>
      </c>
    </row>
    <row r="10" spans="1:4" ht="30.75">
      <c r="A10" s="136" t="s">
        <v>41</v>
      </c>
      <c r="B10" s="58" t="s">
        <v>42</v>
      </c>
      <c r="C10" s="58" t="s">
        <v>3</v>
      </c>
      <c r="D10" s="73" t="s">
        <v>19</v>
      </c>
    </row>
    <row r="11" spans="1:4" ht="30.75">
      <c r="A11" s="136" t="s">
        <v>43</v>
      </c>
      <c r="B11" s="58" t="s">
        <v>44</v>
      </c>
      <c r="C11" s="58" t="s">
        <v>3</v>
      </c>
      <c r="D11" s="73" t="s">
        <v>19</v>
      </c>
    </row>
    <row r="12" spans="1:4" ht="30.75">
      <c r="A12" s="136" t="s">
        <v>45</v>
      </c>
      <c r="B12" s="58" t="s">
        <v>46</v>
      </c>
      <c r="C12" s="58" t="s">
        <v>3</v>
      </c>
      <c r="D12" s="73" t="s">
        <v>19</v>
      </c>
    </row>
    <row r="13" spans="1:4" ht="30.75">
      <c r="A13" s="136" t="s">
        <v>47</v>
      </c>
      <c r="B13" s="58" t="s">
        <v>48</v>
      </c>
      <c r="C13" s="58" t="s">
        <v>3</v>
      </c>
      <c r="D13" s="73" t="s">
        <v>19</v>
      </c>
    </row>
    <row r="14" spans="1:4" ht="30.75">
      <c r="A14" s="136" t="s">
        <v>49</v>
      </c>
      <c r="B14" s="58" t="s">
        <v>50</v>
      </c>
      <c r="C14" s="58" t="s">
        <v>3</v>
      </c>
      <c r="D14" s="73" t="s">
        <v>19</v>
      </c>
    </row>
    <row r="15" spans="1:4" ht="30.75">
      <c r="A15" s="136" t="s">
        <v>51</v>
      </c>
      <c r="B15" s="58" t="s">
        <v>52</v>
      </c>
      <c r="C15" s="58" t="s">
        <v>3</v>
      </c>
      <c r="D15" s="73" t="s">
        <v>19</v>
      </c>
    </row>
    <row r="16" spans="1:4" ht="45.75">
      <c r="A16" s="136" t="s">
        <v>53</v>
      </c>
      <c r="B16" s="58" t="s">
        <v>54</v>
      </c>
      <c r="C16" s="58" t="s">
        <v>3</v>
      </c>
      <c r="D16" s="73" t="s">
        <v>19</v>
      </c>
    </row>
    <row r="17" spans="1:9" ht="30.75">
      <c r="A17" s="137" t="s">
        <v>55</v>
      </c>
      <c r="B17" s="59" t="s">
        <v>56</v>
      </c>
      <c r="C17" s="59" t="s">
        <v>3</v>
      </c>
      <c r="D17" s="138" t="s">
        <v>19</v>
      </c>
    </row>
    <row r="32" spans="1:9">
      <c r="G32"/>
      <c r="H32" s="74"/>
      <c r="I32"/>
    </row>
    <row r="33" spans="7:9">
      <c r="G33"/>
      <c r="H33"/>
      <c r="I33"/>
    </row>
  </sheetData>
  <sortState xmlns:xlrd2="http://schemas.microsoft.com/office/spreadsheetml/2017/richdata2" ref="A3:D17">
    <sortCondition descending="1" ref="C3:C17"/>
  </sortState>
  <mergeCells count="1">
    <mergeCell ref="B1:D1"/>
  </mergeCells>
  <hyperlinks>
    <hyperlink ref="A3" location="'Estudiante'!A1" display="Estudiante" xr:uid="{5B943866-C803-4728-9D71-31C9DF3BB5CF}"/>
    <hyperlink ref="A4" location="'Entrenador'!A1" display="Entrenador" xr:uid="{7A01B7F0-90BC-4286-A105-484DD392D8F7}"/>
    <hyperlink ref="A5" location="'Administrador'!A1" display="Administrador" xr:uid="{25C6078C-5B5D-409F-AA63-723EAD88E2B4}"/>
    <hyperlink ref="A9" location="'Entrenamiento Cognitivo'!A1" display="Entrenamiento Cognitivo" xr:uid="{C5D0AA24-DDF0-401C-9D6A-6463CE1E5266}"/>
    <hyperlink ref="A10" location="'Sesion Entrenamiento'!A1" display="Sesion de Entrenamiento" xr:uid="{44486ECC-9BD0-4425-8F5A-EFB24778D59D}"/>
    <hyperlink ref="A11" location="'Asignación Variable Cognitiva'!A1" display="Asignación Variable" xr:uid="{1C4FAFF3-962A-4BB8-A7CD-DA22643D2DF6}"/>
    <hyperlink ref="A12" location="'Variable Cognitiva'!A1" display="Variable Cognitiva" xr:uid="{70DBAC54-AA85-42AB-B1C9-86DD62EDD077}"/>
    <hyperlink ref="A13" location="'Tipo Documento'!A1" display="Tipo de Documento" xr:uid="{3FBEA0FB-AD96-4A82-9530-A97163FB265A}"/>
    <hyperlink ref="A14" location="'Programa'!A1" display="Programa" xr:uid="{5854C2F7-4C44-4C40-8281-B2BFBF1D4482}"/>
    <hyperlink ref="A6" location="'Estudiante por Programa'!A1" display="Estudiante por Programa" xr:uid="{76F3B54B-B4B7-43BC-B036-75B56DA0AB85}"/>
    <hyperlink ref="A15" location="'Facultad'!A1" display="Facultad" xr:uid="{34A22829-6DE5-4441-8EC2-30EF13869108}"/>
    <hyperlink ref="A16" location="'Estado'!A1" display="Estado" xr:uid="{5FC4A0EB-5005-4DF5-8BD1-127CE9109F86}"/>
    <hyperlink ref="A17" location="'Genero'!A1" display="Genero" xr:uid="{EDB0357B-E03D-43F9-932F-B51262765895}"/>
    <hyperlink ref="A8" location="'Entrenador Entrenamiento'!A1" display="Entrenador Entrenamiento" xr:uid="{48F941C5-F7EC-4C1A-A4B8-8AF6C262D4F2}"/>
  </hyperlink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4D8691D-32B3-4891-8170-D76C3B8F74BD}">
          <x14:formula1>
            <xm:f>Valores!$A$3:$A$4</xm:f>
          </x14:formula1>
          <xm:sqref>C3:C6 C7:C17</xm:sqref>
        </x14:dataValidation>
        <x14:dataValidation type="list" allowBlank="1" showInputMessage="1" showErrorMessage="1" xr:uid="{9C09A2C5-54F8-4D9E-990C-EBF6D7D7BA2A}">
          <x14:formula1>
            <xm:f>Valores!$A$3:$A$15</xm:f>
          </x14:formula1>
          <xm:sqref>D3:D6 D7:D17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5BA608-57CC-45B0-8234-10CA49C3B004}">
  <dimension ref="A1:T48"/>
  <sheetViews>
    <sheetView zoomScale="85" zoomScaleNormal="85" workbookViewId="0">
      <pane xSplit="1" topLeftCell="B1" activePane="topRight" state="frozen"/>
      <selection pane="topRight" activeCell="E13" sqref="E13"/>
    </sheetView>
  </sheetViews>
  <sheetFormatPr defaultColWidth="11.42578125" defaultRowHeight="15"/>
  <cols>
    <col min="1" max="1" width="23.85546875" style="1" bestFit="1" customWidth="1"/>
    <col min="2" max="2" width="29.85546875" style="1" customWidth="1"/>
    <col min="3" max="3" width="21" style="1" customWidth="1"/>
    <col min="4" max="4" width="18.85546875" style="1" bestFit="1" customWidth="1"/>
    <col min="5" max="5" width="11.5703125" style="1" bestFit="1" customWidth="1"/>
    <col min="6" max="6" width="15.28515625" style="1" bestFit="1" customWidth="1"/>
    <col min="7" max="7" width="36.5703125" style="1" bestFit="1" customWidth="1"/>
    <col min="8" max="8" width="43.28515625" style="57" customWidth="1"/>
    <col min="9" max="9" width="79.28515625" style="1" bestFit="1" customWidth="1"/>
    <col min="10" max="10" width="29.28515625" style="1" customWidth="1"/>
    <col min="11" max="11" width="19.28515625" style="1" bestFit="1" customWidth="1"/>
    <col min="12" max="12" width="14.42578125" style="1" bestFit="1" customWidth="1"/>
    <col min="13" max="13" width="15.7109375" style="1" bestFit="1" customWidth="1"/>
    <col min="14" max="14" width="12.85546875" style="1" bestFit="1" customWidth="1"/>
    <col min="15" max="15" width="34.140625" style="1" bestFit="1" customWidth="1"/>
    <col min="16" max="16" width="94.42578125" style="1" bestFit="1" customWidth="1"/>
    <col min="17" max="17" width="20.7109375" style="1" customWidth="1"/>
    <col min="18" max="18" width="36.5703125" style="1" bestFit="1" customWidth="1"/>
    <col min="19" max="19" width="22.85546875" style="1" customWidth="1"/>
    <col min="20" max="20" width="29.7109375" style="1" customWidth="1"/>
    <col min="21" max="21" width="19.85546875" style="1" bestFit="1" customWidth="1"/>
    <col min="22" max="22" width="20.28515625" style="1" bestFit="1" customWidth="1"/>
    <col min="23" max="23" width="17.140625" style="1" bestFit="1" customWidth="1"/>
    <col min="24" max="16384" width="11.42578125" style="1"/>
  </cols>
  <sheetData>
    <row r="1" spans="1:20">
      <c r="A1" s="194" t="s">
        <v>57</v>
      </c>
      <c r="B1" s="194"/>
      <c r="C1" s="194"/>
      <c r="D1" s="194"/>
      <c r="E1" s="194"/>
      <c r="F1" s="194"/>
      <c r="G1" s="194"/>
      <c r="H1" s="194"/>
      <c r="I1" s="194"/>
      <c r="J1" s="194"/>
      <c r="K1" s="194"/>
      <c r="L1" s="194"/>
      <c r="M1" s="194"/>
      <c r="N1" s="194"/>
      <c r="O1" s="194"/>
      <c r="P1" s="194"/>
    </row>
    <row r="2" spans="1:20">
      <c r="A2" s="4" t="s">
        <v>58</v>
      </c>
      <c r="B2" s="195" t="str">
        <f>'Listado Objetos de Dominio'!$A$3</f>
        <v>Estudiante</v>
      </c>
      <c r="C2" s="195"/>
      <c r="D2" s="195"/>
      <c r="E2" s="195"/>
      <c r="F2" s="195"/>
      <c r="G2" s="195"/>
      <c r="H2" s="195"/>
      <c r="I2" s="195"/>
      <c r="J2" s="195"/>
      <c r="K2" s="195"/>
      <c r="L2" s="195"/>
      <c r="M2" s="195"/>
      <c r="N2" s="195"/>
      <c r="O2" s="195"/>
      <c r="P2" s="195"/>
    </row>
    <row r="3" spans="1:20">
      <c r="A3" s="4" t="s">
        <v>59</v>
      </c>
      <c r="B3" s="196" t="str">
        <f>'Listado Objetos de Dominio'!$B$3</f>
        <v>Objeto de dominio correspondiente a los estudiantes registrados en la aplicación Cognicare.</v>
      </c>
      <c r="C3" s="196"/>
      <c r="D3" s="196"/>
      <c r="E3" s="196"/>
      <c r="F3" s="196"/>
      <c r="G3" s="196"/>
      <c r="H3" s="196"/>
      <c r="I3" s="196"/>
      <c r="J3" s="196"/>
      <c r="K3" s="196"/>
      <c r="L3" s="196"/>
      <c r="M3" s="196"/>
      <c r="N3" s="196"/>
      <c r="O3" s="196"/>
      <c r="P3" s="196"/>
    </row>
    <row r="4" spans="1:20">
      <c r="A4" s="8" t="s">
        <v>60</v>
      </c>
      <c r="B4" s="9" t="s">
        <v>61</v>
      </c>
      <c r="C4" s="9" t="s">
        <v>62</v>
      </c>
      <c r="D4" s="9" t="s">
        <v>63</v>
      </c>
      <c r="E4" s="9" t="s">
        <v>64</v>
      </c>
      <c r="F4" s="9" t="s">
        <v>65</v>
      </c>
      <c r="G4" s="9" t="s">
        <v>66</v>
      </c>
      <c r="H4" s="10" t="s">
        <v>67</v>
      </c>
      <c r="I4" s="9" t="s">
        <v>68</v>
      </c>
      <c r="J4" s="9" t="s">
        <v>69</v>
      </c>
      <c r="K4" s="9" t="s">
        <v>70</v>
      </c>
      <c r="L4" s="9" t="s">
        <v>71</v>
      </c>
      <c r="M4" s="9" t="s">
        <v>72</v>
      </c>
      <c r="N4" s="9" t="s">
        <v>73</v>
      </c>
      <c r="O4" s="9" t="s">
        <v>74</v>
      </c>
      <c r="P4" s="80" t="s">
        <v>2</v>
      </c>
      <c r="Q4" s="94" t="str">
        <f>A22</f>
        <v>Registrar Estudiante</v>
      </c>
      <c r="R4" s="94" t="str">
        <f>A31</f>
        <v>Modificar Informacion de Estudiante</v>
      </c>
      <c r="S4" s="95" t="str">
        <f>A39</f>
        <v>Consultar Estudiante</v>
      </c>
      <c r="T4" s="95" t="str">
        <f>A41</f>
        <v>Actualizar Genero Estudiante</v>
      </c>
    </row>
    <row r="5" spans="1:20">
      <c r="A5" s="11" t="s">
        <v>75</v>
      </c>
      <c r="B5" s="5" t="s">
        <v>76</v>
      </c>
      <c r="C5" s="5">
        <v>36</v>
      </c>
      <c r="D5" s="5">
        <v>36</v>
      </c>
      <c r="E5" s="5"/>
      <c r="F5" s="5"/>
      <c r="G5" s="5"/>
      <c r="H5" s="7" t="s">
        <v>77</v>
      </c>
      <c r="I5" s="5"/>
      <c r="J5" s="13"/>
      <c r="K5" s="12" t="s">
        <v>15</v>
      </c>
      <c r="L5" s="12" t="s">
        <v>17</v>
      </c>
      <c r="M5" s="12" t="s">
        <v>15</v>
      </c>
      <c r="N5" s="12" t="s">
        <v>15</v>
      </c>
      <c r="O5" s="12" t="s">
        <v>15</v>
      </c>
      <c r="P5" s="81" t="s">
        <v>78</v>
      </c>
      <c r="Q5" s="53" t="s">
        <v>7</v>
      </c>
      <c r="R5" s="53" t="s">
        <v>9</v>
      </c>
      <c r="S5" s="53" t="s">
        <v>9</v>
      </c>
      <c r="T5" s="53" t="s">
        <v>9</v>
      </c>
    </row>
    <row r="6" spans="1:20">
      <c r="A6" s="11" t="s">
        <v>79</v>
      </c>
      <c r="B6" s="5" t="s">
        <v>80</v>
      </c>
      <c r="C6" s="5">
        <v>1</v>
      </c>
      <c r="D6" s="5">
        <v>200</v>
      </c>
      <c r="E6" s="5"/>
      <c r="F6" s="5"/>
      <c r="G6" s="5"/>
      <c r="H6" s="7" t="s">
        <v>81</v>
      </c>
      <c r="I6" s="5"/>
      <c r="J6" s="13"/>
      <c r="K6" s="12" t="s">
        <v>17</v>
      </c>
      <c r="L6" s="12" t="s">
        <v>17</v>
      </c>
      <c r="M6" s="12" t="s">
        <v>15</v>
      </c>
      <c r="N6" s="12" t="s">
        <v>17</v>
      </c>
      <c r="O6" s="12" t="s">
        <v>17</v>
      </c>
      <c r="P6" s="81" t="s">
        <v>82</v>
      </c>
      <c r="Q6" s="53" t="s">
        <v>7</v>
      </c>
      <c r="R6" s="53" t="s">
        <v>7</v>
      </c>
      <c r="S6" s="53" t="s">
        <v>13</v>
      </c>
      <c r="T6" s="53" t="s">
        <v>9</v>
      </c>
    </row>
    <row r="7" spans="1:20">
      <c r="A7" s="54" t="s">
        <v>83</v>
      </c>
      <c r="B7" s="55" t="s">
        <v>80</v>
      </c>
      <c r="C7" s="55">
        <v>1</v>
      </c>
      <c r="D7" s="55">
        <v>200</v>
      </c>
      <c r="E7" s="55"/>
      <c r="F7" s="55"/>
      <c r="G7" s="55"/>
      <c r="H7" s="7" t="s">
        <v>81</v>
      </c>
      <c r="I7" s="55"/>
      <c r="J7" s="13"/>
      <c r="K7" s="12" t="s">
        <v>17</v>
      </c>
      <c r="L7" s="12" t="s">
        <v>17</v>
      </c>
      <c r="M7" s="12" t="s">
        <v>15</v>
      </c>
      <c r="N7" s="12" t="s">
        <v>17</v>
      </c>
      <c r="O7" s="12" t="s">
        <v>17</v>
      </c>
      <c r="P7" s="82" t="s">
        <v>84</v>
      </c>
      <c r="Q7" s="53" t="s">
        <v>7</v>
      </c>
      <c r="R7" s="53" t="s">
        <v>7</v>
      </c>
      <c r="S7" s="53" t="s">
        <v>13</v>
      </c>
      <c r="T7" s="53" t="s">
        <v>9</v>
      </c>
    </row>
    <row r="8" spans="1:20">
      <c r="A8" s="50" t="s">
        <v>85</v>
      </c>
      <c r="B8" s="145" t="s">
        <v>76</v>
      </c>
      <c r="C8" s="50"/>
      <c r="D8" s="50"/>
      <c r="E8" s="50"/>
      <c r="F8" s="50"/>
      <c r="G8" s="50"/>
      <c r="H8" s="7" t="s">
        <v>77</v>
      </c>
      <c r="I8" s="50"/>
      <c r="J8" s="51"/>
      <c r="K8" s="12" t="s">
        <v>17</v>
      </c>
      <c r="L8" s="12" t="s">
        <v>17</v>
      </c>
      <c r="M8" s="12" t="s">
        <v>15</v>
      </c>
      <c r="N8" s="12" t="s">
        <v>17</v>
      </c>
      <c r="O8" s="12" t="s">
        <v>17</v>
      </c>
      <c r="P8" s="83" t="s">
        <v>86</v>
      </c>
      <c r="Q8" s="53" t="s">
        <v>7</v>
      </c>
      <c r="R8" s="53" t="s">
        <v>9</v>
      </c>
      <c r="S8" s="53" t="s">
        <v>13</v>
      </c>
      <c r="T8" s="53" t="s">
        <v>9</v>
      </c>
    </row>
    <row r="9" spans="1:20">
      <c r="A9" s="50" t="s">
        <v>87</v>
      </c>
      <c r="B9" s="50" t="s">
        <v>80</v>
      </c>
      <c r="C9" s="50">
        <v>1</v>
      </c>
      <c r="D9" s="50">
        <v>20</v>
      </c>
      <c r="E9" s="50"/>
      <c r="F9" s="50"/>
      <c r="G9" s="50"/>
      <c r="H9" s="52" t="s">
        <v>88</v>
      </c>
      <c r="I9" s="50"/>
      <c r="J9" s="51"/>
      <c r="K9" s="12" t="s">
        <v>17</v>
      </c>
      <c r="L9" s="12" t="s">
        <v>17</v>
      </c>
      <c r="M9" s="12" t="s">
        <v>15</v>
      </c>
      <c r="N9" s="12" t="s">
        <v>17</v>
      </c>
      <c r="O9" s="12" t="s">
        <v>17</v>
      </c>
      <c r="P9" s="83" t="s">
        <v>89</v>
      </c>
      <c r="Q9" s="53" t="s">
        <v>7</v>
      </c>
      <c r="R9" s="53" t="s">
        <v>9</v>
      </c>
      <c r="S9" s="53" t="s">
        <v>13</v>
      </c>
      <c r="T9" s="53" t="s">
        <v>9</v>
      </c>
    </row>
    <row r="10" spans="1:20">
      <c r="A10" s="78" t="s">
        <v>90</v>
      </c>
      <c r="B10" s="146" t="s">
        <v>76</v>
      </c>
      <c r="C10" s="78"/>
      <c r="D10" s="78"/>
      <c r="E10" s="78"/>
      <c r="F10" s="78"/>
      <c r="G10" s="78"/>
      <c r="H10" s="7" t="s">
        <v>77</v>
      </c>
      <c r="I10" s="78"/>
      <c r="J10" s="79"/>
      <c r="K10" s="12" t="s">
        <v>17</v>
      </c>
      <c r="L10" s="12" t="s">
        <v>17</v>
      </c>
      <c r="M10" s="12" t="s">
        <v>15</v>
      </c>
      <c r="N10" s="12" t="s">
        <v>17</v>
      </c>
      <c r="O10" s="12" t="s">
        <v>17</v>
      </c>
      <c r="P10" s="84" t="s">
        <v>91</v>
      </c>
      <c r="Q10" s="53" t="s">
        <v>7</v>
      </c>
      <c r="R10" s="53" t="s">
        <v>7</v>
      </c>
      <c r="S10" s="53" t="s">
        <v>13</v>
      </c>
      <c r="T10" s="53" t="s">
        <v>7</v>
      </c>
    </row>
    <row r="11" spans="1:20">
      <c r="A11" s="50" t="s">
        <v>92</v>
      </c>
      <c r="B11" s="50" t="s">
        <v>93</v>
      </c>
      <c r="C11" s="50"/>
      <c r="D11" s="50"/>
      <c r="E11" s="50"/>
      <c r="F11" s="50"/>
      <c r="G11" s="50"/>
      <c r="H11" s="52" t="s">
        <v>94</v>
      </c>
      <c r="I11" s="50"/>
      <c r="J11" s="51"/>
      <c r="K11" s="12" t="s">
        <v>17</v>
      </c>
      <c r="L11" s="12" t="s">
        <v>17</v>
      </c>
      <c r="M11" s="12" t="s">
        <v>15</v>
      </c>
      <c r="N11" s="12" t="s">
        <v>17</v>
      </c>
      <c r="O11" s="12" t="s">
        <v>17</v>
      </c>
      <c r="P11" s="83" t="s">
        <v>95</v>
      </c>
      <c r="Q11" s="53" t="s">
        <v>7</v>
      </c>
      <c r="R11" s="53" t="s">
        <v>7</v>
      </c>
      <c r="S11" s="53" t="s">
        <v>13</v>
      </c>
      <c r="T11" s="53" t="s">
        <v>9</v>
      </c>
    </row>
    <row r="12" spans="1:20" ht="21.75" customHeight="1">
      <c r="A12" s="50" t="s">
        <v>96</v>
      </c>
      <c r="B12" s="50" t="s">
        <v>80</v>
      </c>
      <c r="C12" s="50">
        <v>1</v>
      </c>
      <c r="D12" s="50">
        <v>300</v>
      </c>
      <c r="E12" s="50"/>
      <c r="F12" s="50"/>
      <c r="G12" s="50"/>
      <c r="H12" s="52" t="s">
        <v>97</v>
      </c>
      <c r="I12" s="50"/>
      <c r="J12" s="51"/>
      <c r="K12" s="12" t="s">
        <v>17</v>
      </c>
      <c r="L12" s="12" t="s">
        <v>17</v>
      </c>
      <c r="M12" s="12" t="s">
        <v>15</v>
      </c>
      <c r="N12" s="12" t="s">
        <v>15</v>
      </c>
      <c r="O12" s="12" t="s">
        <v>15</v>
      </c>
      <c r="P12" s="83" t="s">
        <v>98</v>
      </c>
      <c r="Q12" s="53" t="s">
        <v>7</v>
      </c>
      <c r="R12" s="53" t="s">
        <v>7</v>
      </c>
      <c r="S12" s="53" t="s">
        <v>13</v>
      </c>
      <c r="T12" s="53" t="s">
        <v>9</v>
      </c>
    </row>
    <row r="14" spans="1:20">
      <c r="A14" s="197" t="s">
        <v>99</v>
      </c>
      <c r="B14" s="198"/>
      <c r="C14" s="199"/>
    </row>
    <row r="15" spans="1:20">
      <c r="A15" s="121" t="s">
        <v>100</v>
      </c>
      <c r="B15" s="122" t="s">
        <v>2</v>
      </c>
      <c r="C15" s="123" t="s">
        <v>101</v>
      </c>
    </row>
    <row r="16" spans="1:20" ht="24.75" customHeight="1">
      <c r="A16" s="203" t="s">
        <v>102</v>
      </c>
      <c r="B16" s="205" t="s">
        <v>103</v>
      </c>
      <c r="C16" s="127" t="s">
        <v>85</v>
      </c>
    </row>
    <row r="17" spans="1:18" ht="24.75" customHeight="1">
      <c r="A17" s="204"/>
      <c r="B17" s="206"/>
      <c r="C17" s="127" t="s">
        <v>87</v>
      </c>
    </row>
    <row r="18" spans="1:18" ht="45" customHeight="1">
      <c r="A18" s="124" t="s">
        <v>104</v>
      </c>
      <c r="B18" s="125" t="s">
        <v>105</v>
      </c>
      <c r="C18" s="126" t="str">
        <f>A12</f>
        <v>correo</v>
      </c>
    </row>
    <row r="20" spans="1:18">
      <c r="A20" s="200" t="s">
        <v>106</v>
      </c>
      <c r="B20" s="201"/>
      <c r="C20" s="201" t="s">
        <v>2</v>
      </c>
      <c r="D20" s="201"/>
      <c r="E20" s="201"/>
      <c r="F20" s="201"/>
      <c r="G20" s="201" t="s">
        <v>107</v>
      </c>
      <c r="H20" s="201"/>
      <c r="I20" s="201"/>
      <c r="J20" s="201" t="s">
        <v>108</v>
      </c>
      <c r="K20" s="201"/>
      <c r="L20" s="201"/>
      <c r="M20" s="201"/>
      <c r="N20" s="201"/>
      <c r="O20" s="201" t="s">
        <v>109</v>
      </c>
      <c r="P20" s="201"/>
      <c r="Q20" s="89"/>
      <c r="R20" s="75"/>
    </row>
    <row r="21" spans="1:18">
      <c r="A21" s="202"/>
      <c r="B21" s="193"/>
      <c r="C21" s="193"/>
      <c r="D21" s="193"/>
      <c r="E21" s="193"/>
      <c r="F21" s="193"/>
      <c r="G21" s="56" t="s">
        <v>110</v>
      </c>
      <c r="H21" s="76" t="s">
        <v>111</v>
      </c>
      <c r="I21" s="56" t="s">
        <v>2</v>
      </c>
      <c r="J21" s="56" t="s">
        <v>61</v>
      </c>
      <c r="K21" s="193" t="s">
        <v>2</v>
      </c>
      <c r="L21" s="193"/>
      <c r="M21" s="193"/>
      <c r="N21" s="193"/>
      <c r="O21" s="56" t="s">
        <v>112</v>
      </c>
      <c r="P21" s="56" t="s">
        <v>2</v>
      </c>
      <c r="Q21" s="56" t="s">
        <v>113</v>
      </c>
      <c r="R21" s="77" t="s">
        <v>114</v>
      </c>
    </row>
    <row r="22" spans="1:18" ht="50.25" customHeight="1">
      <c r="A22" s="213" t="s">
        <v>115</v>
      </c>
      <c r="B22" s="214"/>
      <c r="C22" s="219" t="s">
        <v>116</v>
      </c>
      <c r="D22" s="220"/>
      <c r="E22" s="220"/>
      <c r="F22" s="221"/>
      <c r="G22" s="139" t="s">
        <v>117</v>
      </c>
      <c r="H22" s="139" t="s">
        <v>80</v>
      </c>
      <c r="I22" s="139" t="s">
        <v>118</v>
      </c>
      <c r="J22" s="210" t="s">
        <v>119</v>
      </c>
      <c r="K22" s="219" t="s">
        <v>120</v>
      </c>
      <c r="L22" s="220"/>
      <c r="M22" s="220"/>
      <c r="N22" s="221"/>
      <c r="O22" s="209" t="s">
        <v>121</v>
      </c>
      <c r="P22" s="208" t="s">
        <v>122</v>
      </c>
      <c r="Q22" s="208" t="s">
        <v>123</v>
      </c>
      <c r="R22" s="208" t="s">
        <v>124</v>
      </c>
    </row>
    <row r="23" spans="1:18" ht="50.25" customHeight="1">
      <c r="A23" s="215"/>
      <c r="B23" s="216"/>
      <c r="C23" s="222"/>
      <c r="D23" s="223"/>
      <c r="E23" s="223"/>
      <c r="F23" s="224"/>
      <c r="G23" s="139" t="s">
        <v>125</v>
      </c>
      <c r="H23" s="139" t="s">
        <v>80</v>
      </c>
      <c r="I23" s="139" t="s">
        <v>126</v>
      </c>
      <c r="J23" s="211"/>
      <c r="K23" s="222"/>
      <c r="L23" s="223"/>
      <c r="M23" s="223"/>
      <c r="N23" s="224"/>
      <c r="O23" s="209"/>
      <c r="P23" s="208"/>
      <c r="Q23" s="208"/>
      <c r="R23" s="208"/>
    </row>
    <row r="24" spans="1:18" ht="50.25" customHeight="1">
      <c r="A24" s="215"/>
      <c r="B24" s="216"/>
      <c r="C24" s="222"/>
      <c r="D24" s="223"/>
      <c r="E24" s="223"/>
      <c r="F24" s="224"/>
      <c r="G24" s="139" t="s">
        <v>127</v>
      </c>
      <c r="H24" s="139" t="s">
        <v>80</v>
      </c>
      <c r="I24" s="139" t="s">
        <v>128</v>
      </c>
      <c r="J24" s="211"/>
      <c r="K24" s="222"/>
      <c r="L24" s="223"/>
      <c r="M24" s="223"/>
      <c r="N24" s="224"/>
      <c r="O24" s="209" t="s">
        <v>129</v>
      </c>
      <c r="P24" s="208" t="s">
        <v>130</v>
      </c>
      <c r="Q24" s="208" t="s">
        <v>131</v>
      </c>
      <c r="R24" s="208" t="s">
        <v>132</v>
      </c>
    </row>
    <row r="25" spans="1:18" ht="50.25" customHeight="1">
      <c r="A25" s="215"/>
      <c r="B25" s="216"/>
      <c r="C25" s="222"/>
      <c r="D25" s="223"/>
      <c r="E25" s="223"/>
      <c r="F25" s="224"/>
      <c r="G25" s="139" t="s">
        <v>133</v>
      </c>
      <c r="H25" s="139" t="s">
        <v>80</v>
      </c>
      <c r="I25" s="139" t="s">
        <v>134</v>
      </c>
      <c r="J25" s="211"/>
      <c r="K25" s="222"/>
      <c r="L25" s="223"/>
      <c r="M25" s="223"/>
      <c r="N25" s="224"/>
      <c r="O25" s="209"/>
      <c r="P25" s="208"/>
      <c r="Q25" s="208"/>
      <c r="R25" s="208"/>
    </row>
    <row r="26" spans="1:18" ht="50.25" customHeight="1">
      <c r="A26" s="215"/>
      <c r="B26" s="216"/>
      <c r="C26" s="222"/>
      <c r="D26" s="223"/>
      <c r="E26" s="223"/>
      <c r="F26" s="224"/>
      <c r="G26" s="139" t="s">
        <v>87</v>
      </c>
      <c r="H26" s="139" t="s">
        <v>80</v>
      </c>
      <c r="I26" s="139" t="s">
        <v>135</v>
      </c>
      <c r="J26" s="211"/>
      <c r="K26" s="222"/>
      <c r="L26" s="223"/>
      <c r="M26" s="223"/>
      <c r="N26" s="224"/>
      <c r="O26" s="209" t="s">
        <v>136</v>
      </c>
      <c r="P26" s="208" t="s">
        <v>137</v>
      </c>
      <c r="Q26" s="208" t="s">
        <v>138</v>
      </c>
      <c r="R26" s="208" t="s">
        <v>139</v>
      </c>
    </row>
    <row r="27" spans="1:18" ht="50.25" customHeight="1">
      <c r="A27" s="215"/>
      <c r="B27" s="216"/>
      <c r="C27" s="222"/>
      <c r="D27" s="223"/>
      <c r="E27" s="223"/>
      <c r="F27" s="224"/>
      <c r="G27" s="139" t="s">
        <v>92</v>
      </c>
      <c r="H27" s="139" t="s">
        <v>93</v>
      </c>
      <c r="I27" s="139" t="s">
        <v>140</v>
      </c>
      <c r="J27" s="211"/>
      <c r="K27" s="222"/>
      <c r="L27" s="223"/>
      <c r="M27" s="223"/>
      <c r="N27" s="224"/>
      <c r="O27" s="209"/>
      <c r="P27" s="208"/>
      <c r="Q27" s="208"/>
      <c r="R27" s="208"/>
    </row>
    <row r="28" spans="1:18" ht="50.25" customHeight="1">
      <c r="A28" s="215"/>
      <c r="B28" s="216"/>
      <c r="C28" s="222"/>
      <c r="D28" s="223"/>
      <c r="E28" s="223"/>
      <c r="F28" s="224"/>
      <c r="G28" s="139" t="s">
        <v>96</v>
      </c>
      <c r="H28" s="139" t="s">
        <v>80</v>
      </c>
      <c r="I28" s="139" t="s">
        <v>141</v>
      </c>
      <c r="J28" s="211"/>
      <c r="K28" s="222"/>
      <c r="L28" s="223"/>
      <c r="M28" s="223"/>
      <c r="N28" s="224"/>
      <c r="O28" s="209" t="s">
        <v>142</v>
      </c>
      <c r="P28" s="208" t="s">
        <v>143</v>
      </c>
      <c r="Q28" s="208" t="s">
        <v>138</v>
      </c>
      <c r="R28" s="208" t="s">
        <v>139</v>
      </c>
    </row>
    <row r="29" spans="1:18" ht="49.5" customHeight="1">
      <c r="A29" s="215"/>
      <c r="B29" s="216"/>
      <c r="C29" s="222"/>
      <c r="D29" s="223"/>
      <c r="E29" s="223"/>
      <c r="F29" s="224"/>
      <c r="G29" s="210" t="s">
        <v>144</v>
      </c>
      <c r="H29" s="210" t="s">
        <v>145</v>
      </c>
      <c r="I29" s="210" t="s">
        <v>146</v>
      </c>
      <c r="J29" s="211"/>
      <c r="K29" s="222"/>
      <c r="L29" s="223"/>
      <c r="M29" s="223"/>
      <c r="N29" s="224"/>
      <c r="O29" s="209"/>
      <c r="P29" s="208"/>
      <c r="Q29" s="208"/>
      <c r="R29" s="208"/>
    </row>
    <row r="30" spans="1:18" ht="49.5" customHeight="1">
      <c r="A30" s="217"/>
      <c r="B30" s="218"/>
      <c r="C30" s="225"/>
      <c r="D30" s="226"/>
      <c r="E30" s="226"/>
      <c r="F30" s="227"/>
      <c r="G30" s="212"/>
      <c r="H30" s="212"/>
      <c r="I30" s="212"/>
      <c r="J30" s="212"/>
      <c r="K30" s="225"/>
      <c r="L30" s="226"/>
      <c r="M30" s="226"/>
      <c r="N30" s="227"/>
      <c r="O30" s="141" t="s">
        <v>147</v>
      </c>
      <c r="P30" s="139" t="s">
        <v>148</v>
      </c>
      <c r="Q30" s="139" t="s">
        <v>149</v>
      </c>
      <c r="R30" s="139" t="s">
        <v>150</v>
      </c>
    </row>
    <row r="31" spans="1:18" ht="47.25" customHeight="1">
      <c r="A31" s="207" t="s">
        <v>151</v>
      </c>
      <c r="B31" s="207"/>
      <c r="C31" s="208" t="s">
        <v>152</v>
      </c>
      <c r="D31" s="208"/>
      <c r="E31" s="208"/>
      <c r="F31" s="208"/>
      <c r="G31" s="139" t="s">
        <v>117</v>
      </c>
      <c r="H31" s="139" t="s">
        <v>80</v>
      </c>
      <c r="I31" s="139" t="s">
        <v>118</v>
      </c>
      <c r="J31" s="208" t="s">
        <v>119</v>
      </c>
      <c r="K31" s="208" t="s">
        <v>120</v>
      </c>
      <c r="L31" s="208"/>
      <c r="M31" s="208"/>
      <c r="N31" s="208"/>
      <c r="O31" s="209" t="s">
        <v>147</v>
      </c>
      <c r="P31" s="208" t="s">
        <v>153</v>
      </c>
      <c r="Q31" s="210" t="s">
        <v>154</v>
      </c>
      <c r="R31" s="210" t="s">
        <v>124</v>
      </c>
    </row>
    <row r="32" spans="1:18" ht="46.5" customHeight="1">
      <c r="A32" s="207"/>
      <c r="B32" s="207"/>
      <c r="C32" s="208"/>
      <c r="D32" s="208"/>
      <c r="E32" s="208"/>
      <c r="F32" s="208"/>
      <c r="G32" s="139" t="s">
        <v>125</v>
      </c>
      <c r="H32" s="139" t="s">
        <v>80</v>
      </c>
      <c r="I32" s="139" t="s">
        <v>126</v>
      </c>
      <c r="J32" s="208"/>
      <c r="K32" s="208"/>
      <c r="L32" s="208"/>
      <c r="M32" s="208"/>
      <c r="N32" s="208"/>
      <c r="O32" s="209"/>
      <c r="P32" s="208"/>
      <c r="Q32" s="211"/>
      <c r="R32" s="211"/>
    </row>
    <row r="33" spans="1:18" ht="38.25" customHeight="1">
      <c r="A33" s="207"/>
      <c r="B33" s="207"/>
      <c r="C33" s="208"/>
      <c r="D33" s="208"/>
      <c r="E33" s="208"/>
      <c r="F33" s="208"/>
      <c r="G33" s="139" t="s">
        <v>127</v>
      </c>
      <c r="H33" s="139" t="s">
        <v>80</v>
      </c>
      <c r="I33" s="139" t="s">
        <v>128</v>
      </c>
      <c r="J33" s="208"/>
      <c r="K33" s="208"/>
      <c r="L33" s="208"/>
      <c r="M33" s="208"/>
      <c r="N33" s="208"/>
      <c r="O33" s="209"/>
      <c r="P33" s="208"/>
      <c r="Q33" s="211"/>
      <c r="R33" s="211"/>
    </row>
    <row r="34" spans="1:18" ht="46.5" customHeight="1">
      <c r="A34" s="207"/>
      <c r="B34" s="207"/>
      <c r="C34" s="208"/>
      <c r="D34" s="208"/>
      <c r="E34" s="208"/>
      <c r="F34" s="208"/>
      <c r="G34" s="139" t="s">
        <v>133</v>
      </c>
      <c r="H34" s="139" t="s">
        <v>80</v>
      </c>
      <c r="I34" s="139" t="s">
        <v>134</v>
      </c>
      <c r="J34" s="208"/>
      <c r="K34" s="208"/>
      <c r="L34" s="208"/>
      <c r="M34" s="208"/>
      <c r="N34" s="208"/>
      <c r="O34" s="209"/>
      <c r="P34" s="208"/>
      <c r="Q34" s="212"/>
      <c r="R34" s="212"/>
    </row>
    <row r="35" spans="1:18" ht="47.25" customHeight="1">
      <c r="A35" s="207"/>
      <c r="B35" s="207"/>
      <c r="C35" s="208"/>
      <c r="D35" s="208"/>
      <c r="E35" s="208"/>
      <c r="F35" s="208"/>
      <c r="G35" s="139" t="s">
        <v>87</v>
      </c>
      <c r="H35" s="139" t="s">
        <v>80</v>
      </c>
      <c r="I35" s="139" t="s">
        <v>135</v>
      </c>
      <c r="J35" s="208"/>
      <c r="K35" s="208"/>
      <c r="L35" s="208"/>
      <c r="M35" s="208"/>
      <c r="N35" s="208"/>
      <c r="O35" s="209" t="s">
        <v>155</v>
      </c>
      <c r="P35" s="208" t="s">
        <v>156</v>
      </c>
      <c r="Q35" s="208" t="s">
        <v>131</v>
      </c>
      <c r="R35" s="208" t="s">
        <v>132</v>
      </c>
    </row>
    <row r="36" spans="1:18" ht="25.5" customHeight="1">
      <c r="A36" s="207"/>
      <c r="B36" s="207"/>
      <c r="C36" s="208"/>
      <c r="D36" s="208"/>
      <c r="E36" s="208"/>
      <c r="F36" s="208"/>
      <c r="G36" s="139" t="s">
        <v>92</v>
      </c>
      <c r="H36" s="139" t="s">
        <v>157</v>
      </c>
      <c r="I36" s="139" t="s">
        <v>140</v>
      </c>
      <c r="J36" s="208"/>
      <c r="K36" s="208"/>
      <c r="L36" s="208"/>
      <c r="M36" s="208"/>
      <c r="N36" s="208"/>
      <c r="O36" s="209"/>
      <c r="P36" s="208"/>
      <c r="Q36" s="208"/>
      <c r="R36" s="208"/>
    </row>
    <row r="37" spans="1:18" ht="21.75" customHeight="1">
      <c r="A37" s="207"/>
      <c r="B37" s="207"/>
      <c r="C37" s="208"/>
      <c r="D37" s="208"/>
      <c r="E37" s="208"/>
      <c r="F37" s="208"/>
      <c r="G37" s="139" t="s">
        <v>96</v>
      </c>
      <c r="H37" s="139" t="s">
        <v>80</v>
      </c>
      <c r="I37" s="139" t="s">
        <v>141</v>
      </c>
      <c r="J37" s="208"/>
      <c r="K37" s="208"/>
      <c r="L37" s="208"/>
      <c r="M37" s="208"/>
      <c r="N37" s="208"/>
      <c r="O37" s="209"/>
      <c r="P37" s="208"/>
      <c r="Q37" s="208"/>
      <c r="R37" s="208"/>
    </row>
    <row r="38" spans="1:18" ht="26.25" customHeight="1">
      <c r="A38" s="207"/>
      <c r="B38" s="207"/>
      <c r="C38" s="208"/>
      <c r="D38" s="208"/>
      <c r="E38" s="208"/>
      <c r="F38" s="208"/>
      <c r="G38" s="139" t="s">
        <v>144</v>
      </c>
      <c r="H38" s="139" t="s">
        <v>145</v>
      </c>
      <c r="I38" s="139" t="s">
        <v>146</v>
      </c>
      <c r="J38" s="208"/>
      <c r="K38" s="208"/>
      <c r="L38" s="208"/>
      <c r="M38" s="208"/>
      <c r="N38" s="208"/>
      <c r="O38" s="209"/>
      <c r="P38" s="208"/>
      <c r="Q38" s="208"/>
      <c r="R38" s="208"/>
    </row>
    <row r="39" spans="1:18" ht="45.75" customHeight="1">
      <c r="A39" s="207" t="s">
        <v>158</v>
      </c>
      <c r="B39" s="207"/>
      <c r="C39" s="208" t="s">
        <v>159</v>
      </c>
      <c r="D39" s="208"/>
      <c r="E39" s="208"/>
      <c r="F39" s="208"/>
      <c r="G39" s="139" t="s">
        <v>160</v>
      </c>
      <c r="H39" s="139" t="s">
        <v>80</v>
      </c>
      <c r="I39" s="139" t="s">
        <v>118</v>
      </c>
      <c r="J39" s="208" t="s">
        <v>119</v>
      </c>
      <c r="K39" s="208" t="s">
        <v>161</v>
      </c>
      <c r="L39" s="208"/>
      <c r="M39" s="208"/>
      <c r="N39" s="208"/>
      <c r="O39" s="208" t="s">
        <v>162</v>
      </c>
      <c r="P39" s="208" t="s">
        <v>163</v>
      </c>
      <c r="Q39" s="208" t="s">
        <v>164</v>
      </c>
      <c r="R39" s="208" t="s">
        <v>165</v>
      </c>
    </row>
    <row r="40" spans="1:18" ht="31.5" customHeight="1">
      <c r="A40" s="207"/>
      <c r="B40" s="207"/>
      <c r="C40" s="208"/>
      <c r="D40" s="208"/>
      <c r="E40" s="208"/>
      <c r="F40" s="208"/>
      <c r="G40" s="139" t="s">
        <v>87</v>
      </c>
      <c r="H40" s="139" t="s">
        <v>80</v>
      </c>
      <c r="I40" s="139" t="s">
        <v>135</v>
      </c>
      <c r="J40" s="208"/>
      <c r="K40" s="208"/>
      <c r="L40" s="208"/>
      <c r="M40" s="208"/>
      <c r="N40" s="208"/>
      <c r="O40" s="208"/>
      <c r="P40" s="208"/>
      <c r="Q40" s="208"/>
      <c r="R40" s="208"/>
    </row>
    <row r="41" spans="1:18" ht="30.75" customHeight="1">
      <c r="A41" s="207" t="s">
        <v>166</v>
      </c>
      <c r="B41" s="207"/>
      <c r="C41" s="208" t="s">
        <v>167</v>
      </c>
      <c r="D41" s="208"/>
      <c r="E41" s="208"/>
      <c r="F41" s="208"/>
      <c r="G41" s="139" t="s">
        <v>168</v>
      </c>
      <c r="H41" s="139" t="s">
        <v>76</v>
      </c>
      <c r="I41" s="139" t="s">
        <v>169</v>
      </c>
      <c r="J41" s="139" t="s">
        <v>119</v>
      </c>
      <c r="K41" s="208" t="s">
        <v>170</v>
      </c>
      <c r="L41" s="208"/>
      <c r="M41" s="208"/>
      <c r="N41" s="208"/>
      <c r="O41" s="139"/>
      <c r="P41" s="139"/>
      <c r="Q41" s="139"/>
      <c r="R41" s="139"/>
    </row>
    <row r="42" spans="1:18" ht="31.5" customHeight="1">
      <c r="P42"/>
    </row>
    <row r="43" spans="1:18" ht="30" customHeight="1"/>
    <row r="44" spans="1:18" ht="32.25" customHeight="1"/>
    <row r="48" spans="1:18" ht="30.75" customHeight="1"/>
  </sheetData>
  <mergeCells count="58">
    <mergeCell ref="R26:R27"/>
    <mergeCell ref="A41:B41"/>
    <mergeCell ref="C41:F41"/>
    <mergeCell ref="K41:N41"/>
    <mergeCell ref="A22:B30"/>
    <mergeCell ref="C22:F30"/>
    <mergeCell ref="G29:G30"/>
    <mergeCell ref="H29:H30"/>
    <mergeCell ref="I29:I30"/>
    <mergeCell ref="J22:J30"/>
    <mergeCell ref="K22:N30"/>
    <mergeCell ref="R28:R29"/>
    <mergeCell ref="A39:B40"/>
    <mergeCell ref="C39:F40"/>
    <mergeCell ref="J39:J40"/>
    <mergeCell ref="R35:R38"/>
    <mergeCell ref="P31:P34"/>
    <mergeCell ref="Q31:Q34"/>
    <mergeCell ref="K39:N40"/>
    <mergeCell ref="O39:O40"/>
    <mergeCell ref="P39:P40"/>
    <mergeCell ref="Q39:Q40"/>
    <mergeCell ref="Q35:Q38"/>
    <mergeCell ref="R39:R40"/>
    <mergeCell ref="R31:R34"/>
    <mergeCell ref="O22:O23"/>
    <mergeCell ref="P22:P23"/>
    <mergeCell ref="Q22:Q23"/>
    <mergeCell ref="R22:R23"/>
    <mergeCell ref="O24:O25"/>
    <mergeCell ref="P24:P25"/>
    <mergeCell ref="Q24:Q25"/>
    <mergeCell ref="R24:R25"/>
    <mergeCell ref="O26:O27"/>
    <mergeCell ref="P26:P27"/>
    <mergeCell ref="Q26:Q27"/>
    <mergeCell ref="P28:P29"/>
    <mergeCell ref="Q28:Q29"/>
    <mergeCell ref="P35:P38"/>
    <mergeCell ref="A31:B38"/>
    <mergeCell ref="C31:F38"/>
    <mergeCell ref="J31:J38"/>
    <mergeCell ref="K31:N38"/>
    <mergeCell ref="O28:O29"/>
    <mergeCell ref="O35:O38"/>
    <mergeCell ref="O31:O34"/>
    <mergeCell ref="K21:N21"/>
    <mergeCell ref="A1:P1"/>
    <mergeCell ref="B2:P2"/>
    <mergeCell ref="B3:P3"/>
    <mergeCell ref="A14:C14"/>
    <mergeCell ref="A20:B21"/>
    <mergeCell ref="C20:F21"/>
    <mergeCell ref="G20:I20"/>
    <mergeCell ref="J20:N20"/>
    <mergeCell ref="O20:P20"/>
    <mergeCell ref="A16:A17"/>
    <mergeCell ref="B16:B17"/>
  </mergeCells>
  <hyperlinks>
    <hyperlink ref="A1" location="'Objetos de Dominio'!A1" display="Volver al inicio" xr:uid="{F92E8141-0BAA-4CFF-A2AA-790349ADA214}"/>
    <hyperlink ref="A1:P1" location="'Listado Objetos de Dominio'!A1" display="&lt;-Volver al inicio" xr:uid="{BAD90D86-7311-49B0-A802-02D69BE204D5}"/>
    <hyperlink ref="Q4" location="'Estudiante'!A21" display="=A21" xr:uid="{5998F94B-1E98-4521-AD03-D9A42479DEBA}"/>
    <hyperlink ref="R4" location="'Estudiante'!A30" display="=A30" xr:uid="{2EB232F9-835D-4C66-96BC-AFB739DAE381}"/>
    <hyperlink ref="S4" location="'Estudiante'!A38" display="=A38" xr:uid="{B0B61D09-ABDC-4F80-9CFD-7026F7A4964E}"/>
    <hyperlink ref="T4" location="'Estudiante'!A40" display="=A40" xr:uid="{83E38AD0-7E91-4299-8C45-B7403AA4833E}"/>
    <hyperlink ref="C17" location="'Estudiante'!A9" display="Numero Documento" xr:uid="{8F56F8BD-5C1A-4A80-9D2F-7650B281FEEE}"/>
    <hyperlink ref="C18" location="'Estudiante'!A12" display="=A12" xr:uid="{D9040043-CA6F-46AC-A7D2-7692BF4E1C22}"/>
    <hyperlink ref="A39:B40" location="'Estudiante'!S4" display="Consultar Estudiante" xr:uid="{5D5B2961-368B-4E9F-87FE-6706F03F7A0F}"/>
    <hyperlink ref="A41:B41" location="'Estudiante'!T4" display="Actualizar Genero Estudiante" xr:uid="{63B68A68-1DB2-4A01-8F9B-1B86EDFB0BB6}"/>
    <hyperlink ref="B8" location="'Tipo Documento'!A1" display="Tipo de Documento" xr:uid="{2F0D0C0F-2159-4F98-8278-9BC45CBDD68F}"/>
    <hyperlink ref="B10" location="'Genero'!A1" display="Genero" xr:uid="{E342E8F1-C10D-447C-886B-1D7DBF185257}"/>
    <hyperlink ref="C16" location="'Estudiante'!A8" display="Tipo Documento" xr:uid="{F09E1618-EA74-496B-82AE-77C4BCA02A94}"/>
    <hyperlink ref="A22:B30" location="'Estudiante'!Q4" display="Registrar Estudiante" xr:uid="{2E15F4CA-6410-45EC-B317-1F456D0020A0}"/>
    <hyperlink ref="A31:B38" location="'Estudiante'!R4" display="Modificar Informacion de Estudiante" xr:uid="{3B2B4109-AEB1-4FDA-A2D9-A377C069A539}"/>
  </hyperlink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6A3FE11-D977-40E9-BB80-C0703359233E}">
          <x14:formula1>
            <xm:f>Valores!$A$5:$A$10</xm:f>
          </x14:formula1>
          <xm:sqref>K5:O12 Q5:T12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32BFC6-5B3A-4E40-BEA3-58E7EDB79B0C}">
  <dimension ref="A1:V50"/>
  <sheetViews>
    <sheetView workbookViewId="0">
      <pane xSplit="1" topLeftCell="B4" activePane="topRight" state="frozen"/>
      <selection pane="topRight" activeCell="W16" sqref="W16"/>
    </sheetView>
  </sheetViews>
  <sheetFormatPr defaultColWidth="11.42578125" defaultRowHeight="15"/>
  <cols>
    <col min="1" max="1" width="23.85546875" style="57" bestFit="1" customWidth="1"/>
    <col min="2" max="2" width="20.5703125" style="57" customWidth="1"/>
    <col min="3" max="3" width="18.7109375" style="57" bestFit="1" customWidth="1"/>
    <col min="4" max="4" width="18.85546875" style="57" bestFit="1" customWidth="1"/>
    <col min="5" max="5" width="11.5703125" style="57" bestFit="1" customWidth="1"/>
    <col min="6" max="6" width="15.28515625" style="57" bestFit="1" customWidth="1"/>
    <col min="7" max="7" width="36.5703125" style="57" bestFit="1" customWidth="1"/>
    <col min="8" max="8" width="33.7109375" style="57" customWidth="1"/>
    <col min="9" max="9" width="79.28515625" style="57" bestFit="1" customWidth="1"/>
    <col min="10" max="10" width="26.7109375" style="57" customWidth="1"/>
    <col min="11" max="11" width="19.28515625" style="57" bestFit="1" customWidth="1"/>
    <col min="12" max="12" width="14.42578125" style="57" bestFit="1" customWidth="1"/>
    <col min="13" max="13" width="15.7109375" style="57" bestFit="1" customWidth="1"/>
    <col min="14" max="14" width="12.85546875" style="57" bestFit="1" customWidth="1"/>
    <col min="15" max="15" width="32.85546875" style="57" bestFit="1" customWidth="1"/>
    <col min="16" max="16" width="94.42578125" style="91" bestFit="1" customWidth="1"/>
    <col min="17" max="17" width="19.42578125" style="57" bestFit="1" customWidth="1"/>
    <col min="18" max="18" width="21.85546875" style="57" customWidth="1"/>
    <col min="19" max="19" width="20" style="57" customWidth="1"/>
    <col min="20" max="20" width="17.7109375" style="57" bestFit="1" customWidth="1"/>
    <col min="21" max="21" width="20.7109375" style="57" bestFit="1" customWidth="1"/>
    <col min="22" max="22" width="17.140625" style="57" bestFit="1" customWidth="1"/>
    <col min="23" max="23" width="15.42578125" style="57" bestFit="1" customWidth="1"/>
    <col min="24" max="16384" width="11.42578125" style="57"/>
  </cols>
  <sheetData>
    <row r="1" spans="1:22">
      <c r="A1" s="245" t="s">
        <v>57</v>
      </c>
      <c r="B1" s="245"/>
      <c r="C1" s="245"/>
      <c r="D1" s="245"/>
      <c r="E1" s="245"/>
      <c r="F1" s="245"/>
      <c r="G1" s="245"/>
      <c r="H1" s="245"/>
      <c r="I1" s="245"/>
      <c r="J1" s="245"/>
      <c r="K1" s="245"/>
      <c r="L1" s="245"/>
      <c r="M1" s="245"/>
      <c r="N1" s="245"/>
      <c r="O1" s="245"/>
      <c r="P1" s="245"/>
    </row>
    <row r="2" spans="1:22">
      <c r="A2" s="111" t="s">
        <v>58</v>
      </c>
      <c r="B2" s="246" t="str">
        <f>'Listado Objetos de Dominio'!$A$4</f>
        <v>Entrenador</v>
      </c>
      <c r="C2" s="246"/>
      <c r="D2" s="246"/>
      <c r="E2" s="246"/>
      <c r="F2" s="246"/>
      <c r="G2" s="246"/>
      <c r="H2" s="246"/>
      <c r="I2" s="246"/>
      <c r="J2" s="246"/>
      <c r="K2" s="246"/>
      <c r="L2" s="246"/>
      <c r="M2" s="246"/>
      <c r="N2" s="246"/>
      <c r="O2" s="246"/>
      <c r="P2" s="246"/>
    </row>
    <row r="3" spans="1:22">
      <c r="A3" s="112" t="s">
        <v>59</v>
      </c>
      <c r="B3" s="247" t="str">
        <f>'Listado Objetos de Dominio'!$B$4</f>
        <v>Objeto de dominio correspondiente a los entrenadores de la aplicación Cognicare</v>
      </c>
      <c r="C3" s="247"/>
      <c r="D3" s="247"/>
      <c r="E3" s="247"/>
      <c r="F3" s="247"/>
      <c r="G3" s="247"/>
      <c r="H3" s="247"/>
      <c r="I3" s="247"/>
      <c r="J3" s="247"/>
      <c r="K3" s="247"/>
      <c r="L3" s="247"/>
      <c r="M3" s="247"/>
      <c r="N3" s="247"/>
      <c r="O3" s="247"/>
      <c r="P3" s="247"/>
    </row>
    <row r="4" spans="1:22" ht="30.75">
      <c r="A4" s="113" t="s">
        <v>60</v>
      </c>
      <c r="B4" s="92" t="s">
        <v>61</v>
      </c>
      <c r="C4" s="92" t="s">
        <v>62</v>
      </c>
      <c r="D4" s="92" t="s">
        <v>63</v>
      </c>
      <c r="E4" s="92" t="s">
        <v>64</v>
      </c>
      <c r="F4" s="92" t="s">
        <v>65</v>
      </c>
      <c r="G4" s="92" t="s">
        <v>66</v>
      </c>
      <c r="H4" s="92" t="s">
        <v>67</v>
      </c>
      <c r="I4" s="92" t="s">
        <v>68</v>
      </c>
      <c r="J4" s="92" t="s">
        <v>69</v>
      </c>
      <c r="K4" s="92" t="s">
        <v>70</v>
      </c>
      <c r="L4" s="92" t="s">
        <v>71</v>
      </c>
      <c r="M4" s="92" t="s">
        <v>72</v>
      </c>
      <c r="N4" s="92" t="s">
        <v>73</v>
      </c>
      <c r="O4" s="92" t="s">
        <v>74</v>
      </c>
      <c r="P4" s="92" t="s">
        <v>2</v>
      </c>
      <c r="Q4" s="110" t="str">
        <f>A22</f>
        <v>Registrar Nuevo Entrenador</v>
      </c>
      <c r="R4" s="110" t="str">
        <f>A29</f>
        <v>Modificar Información</v>
      </c>
      <c r="S4" s="110" t="str">
        <f>A35</f>
        <v>Desactivar Entrenador</v>
      </c>
      <c r="T4" s="110" t="str">
        <f>A38</f>
        <v>Listar Entrenadores</v>
      </c>
      <c r="U4" s="110" t="str">
        <f>A40</f>
        <v>Autenticar Entrenador</v>
      </c>
      <c r="V4" s="110" t="str">
        <f>A43</f>
        <v>Asignar a Entrenamiento</v>
      </c>
    </row>
    <row r="5" spans="1:22" ht="33.75" customHeight="1">
      <c r="A5" s="109" t="s">
        <v>75</v>
      </c>
      <c r="B5" s="52" t="s">
        <v>76</v>
      </c>
      <c r="C5" s="52">
        <v>36</v>
      </c>
      <c r="D5" s="52">
        <v>36</v>
      </c>
      <c r="E5" s="52"/>
      <c r="F5" s="52"/>
      <c r="G5" s="52"/>
      <c r="H5" s="7" t="s">
        <v>77</v>
      </c>
      <c r="I5" s="52"/>
      <c r="J5" s="93"/>
      <c r="K5" s="98" t="s">
        <v>15</v>
      </c>
      <c r="L5" s="52" t="s">
        <v>17</v>
      </c>
      <c r="M5" s="52" t="s">
        <v>15</v>
      </c>
      <c r="N5" s="52" t="s">
        <v>15</v>
      </c>
      <c r="O5" s="52" t="s">
        <v>15</v>
      </c>
      <c r="P5" s="118" t="s">
        <v>171</v>
      </c>
      <c r="Q5" s="114" t="s">
        <v>7</v>
      </c>
      <c r="R5" s="114" t="s">
        <v>9</v>
      </c>
      <c r="S5" s="114" t="s">
        <v>9</v>
      </c>
      <c r="T5" s="114" t="s">
        <v>11</v>
      </c>
      <c r="U5" s="114" t="s">
        <v>9</v>
      </c>
      <c r="V5" s="114" t="s">
        <v>9</v>
      </c>
    </row>
    <row r="6" spans="1:22">
      <c r="A6" s="109" t="s">
        <v>79</v>
      </c>
      <c r="B6" s="52" t="s">
        <v>80</v>
      </c>
      <c r="C6" s="52">
        <v>1</v>
      </c>
      <c r="D6" s="52">
        <v>200</v>
      </c>
      <c r="E6" s="52"/>
      <c r="F6" s="52"/>
      <c r="G6" s="52"/>
      <c r="H6" s="52" t="s">
        <v>81</v>
      </c>
      <c r="I6" s="52"/>
      <c r="J6" s="93"/>
      <c r="K6" s="98" t="s">
        <v>17</v>
      </c>
      <c r="L6" s="52" t="s">
        <v>17</v>
      </c>
      <c r="M6" s="52" t="s">
        <v>15</v>
      </c>
      <c r="N6" s="52" t="s">
        <v>17</v>
      </c>
      <c r="O6" s="52" t="s">
        <v>17</v>
      </c>
      <c r="P6" s="118" t="s">
        <v>172</v>
      </c>
      <c r="Q6" s="114" t="s">
        <v>7</v>
      </c>
      <c r="R6" s="114" t="s">
        <v>7</v>
      </c>
      <c r="S6" s="114" t="s">
        <v>9</v>
      </c>
      <c r="T6" s="114" t="s">
        <v>13</v>
      </c>
      <c r="U6" s="114" t="s">
        <v>9</v>
      </c>
      <c r="V6" s="114" t="s">
        <v>9</v>
      </c>
    </row>
    <row r="7" spans="1:22">
      <c r="A7" s="109" t="s">
        <v>173</v>
      </c>
      <c r="B7" s="52" t="s">
        <v>80</v>
      </c>
      <c r="C7" s="52">
        <v>1</v>
      </c>
      <c r="D7" s="52">
        <v>200</v>
      </c>
      <c r="E7" s="52"/>
      <c r="F7" s="52"/>
      <c r="G7" s="52"/>
      <c r="H7" s="52" t="s">
        <v>81</v>
      </c>
      <c r="I7" s="52"/>
      <c r="J7" s="93"/>
      <c r="K7" s="98" t="s">
        <v>17</v>
      </c>
      <c r="L7" s="52" t="s">
        <v>17</v>
      </c>
      <c r="M7" s="52" t="s">
        <v>15</v>
      </c>
      <c r="N7" s="52" t="s">
        <v>17</v>
      </c>
      <c r="O7" s="52" t="s">
        <v>17</v>
      </c>
      <c r="P7" s="118" t="s">
        <v>174</v>
      </c>
      <c r="Q7" s="114" t="s">
        <v>7</v>
      </c>
      <c r="R7" s="114" t="s">
        <v>7</v>
      </c>
      <c r="S7" s="114" t="s">
        <v>9</v>
      </c>
      <c r="T7" s="114" t="s">
        <v>13</v>
      </c>
      <c r="U7" s="114" t="s">
        <v>9</v>
      </c>
      <c r="V7" s="114" t="s">
        <v>9</v>
      </c>
    </row>
    <row r="8" spans="1:22" ht="29.25" customHeight="1">
      <c r="A8" s="109" t="s">
        <v>85</v>
      </c>
      <c r="B8" s="144" t="s">
        <v>76</v>
      </c>
      <c r="C8" s="52"/>
      <c r="D8" s="52"/>
      <c r="E8" s="52"/>
      <c r="F8" s="52"/>
      <c r="G8" s="52"/>
      <c r="H8" s="7" t="s">
        <v>77</v>
      </c>
      <c r="I8" s="52"/>
      <c r="J8" s="93"/>
      <c r="K8" s="98" t="s">
        <v>17</v>
      </c>
      <c r="L8" s="52" t="s">
        <v>17</v>
      </c>
      <c r="M8" s="52" t="s">
        <v>15</v>
      </c>
      <c r="N8" s="52" t="s">
        <v>17</v>
      </c>
      <c r="O8" s="52" t="s">
        <v>17</v>
      </c>
      <c r="P8" s="118" t="s">
        <v>175</v>
      </c>
      <c r="Q8" s="114" t="s">
        <v>7</v>
      </c>
      <c r="R8" s="114" t="s">
        <v>9</v>
      </c>
      <c r="S8" s="114" t="s">
        <v>9</v>
      </c>
      <c r="T8" s="114" t="s">
        <v>13</v>
      </c>
      <c r="U8" s="114" t="s">
        <v>7</v>
      </c>
      <c r="V8" s="114" t="s">
        <v>9</v>
      </c>
    </row>
    <row r="9" spans="1:22">
      <c r="A9" s="109" t="s">
        <v>87</v>
      </c>
      <c r="B9" s="52" t="s">
        <v>80</v>
      </c>
      <c r="C9" s="52">
        <v>1</v>
      </c>
      <c r="D9" s="52">
        <v>20</v>
      </c>
      <c r="E9" s="52"/>
      <c r="F9" s="52"/>
      <c r="G9" s="52"/>
      <c r="H9" s="52" t="s">
        <v>88</v>
      </c>
      <c r="I9" s="52"/>
      <c r="J9" s="93"/>
      <c r="K9" s="52" t="s">
        <v>17</v>
      </c>
      <c r="L9" s="52" t="s">
        <v>17</v>
      </c>
      <c r="M9" s="52" t="s">
        <v>15</v>
      </c>
      <c r="N9" s="52" t="s">
        <v>17</v>
      </c>
      <c r="O9" s="52" t="s">
        <v>17</v>
      </c>
      <c r="P9" s="118" t="s">
        <v>176</v>
      </c>
      <c r="Q9" s="114" t="s">
        <v>7</v>
      </c>
      <c r="R9" s="114" t="s">
        <v>9</v>
      </c>
      <c r="S9" s="114" t="s">
        <v>9</v>
      </c>
      <c r="T9" s="114" t="s">
        <v>13</v>
      </c>
      <c r="U9" s="114" t="s">
        <v>7</v>
      </c>
      <c r="V9" s="114" t="s">
        <v>9</v>
      </c>
    </row>
    <row r="10" spans="1:22">
      <c r="A10" s="109" t="s">
        <v>177</v>
      </c>
      <c r="B10" s="52" t="s">
        <v>93</v>
      </c>
      <c r="C10" s="52"/>
      <c r="D10" s="52"/>
      <c r="E10" s="52"/>
      <c r="F10" s="52"/>
      <c r="G10" s="52"/>
      <c r="H10" s="52" t="s">
        <v>94</v>
      </c>
      <c r="I10" s="52" t="s">
        <v>178</v>
      </c>
      <c r="J10" s="93"/>
      <c r="K10" s="52" t="s">
        <v>15</v>
      </c>
      <c r="L10" s="52" t="s">
        <v>17</v>
      </c>
      <c r="M10" s="52" t="s">
        <v>15</v>
      </c>
      <c r="N10" s="52" t="s">
        <v>17</v>
      </c>
      <c r="O10" s="52" t="s">
        <v>17</v>
      </c>
      <c r="P10" s="118" t="s">
        <v>179</v>
      </c>
      <c r="Q10" s="114" t="s">
        <v>7</v>
      </c>
      <c r="R10" s="114" t="s">
        <v>9</v>
      </c>
      <c r="S10" s="114" t="s">
        <v>9</v>
      </c>
      <c r="T10" s="114" t="s">
        <v>11</v>
      </c>
      <c r="U10" s="114" t="s">
        <v>9</v>
      </c>
      <c r="V10" s="114" t="s">
        <v>9</v>
      </c>
    </row>
    <row r="11" spans="1:22">
      <c r="A11" s="109" t="s">
        <v>180</v>
      </c>
      <c r="B11" s="52" t="s">
        <v>93</v>
      </c>
      <c r="C11" s="52"/>
      <c r="D11" s="52"/>
      <c r="E11" s="52"/>
      <c r="F11" s="52"/>
      <c r="G11" s="52"/>
      <c r="H11" s="52" t="s">
        <v>94</v>
      </c>
      <c r="I11" s="52" t="s">
        <v>181</v>
      </c>
      <c r="J11" s="93"/>
      <c r="K11" s="52" t="s">
        <v>17</v>
      </c>
      <c r="L11" s="52" t="s">
        <v>15</v>
      </c>
      <c r="M11" s="52" t="s">
        <v>15</v>
      </c>
      <c r="N11" s="52" t="s">
        <v>17</v>
      </c>
      <c r="O11" s="52" t="s">
        <v>17</v>
      </c>
      <c r="P11" s="118" t="s">
        <v>182</v>
      </c>
      <c r="Q11" s="114" t="s">
        <v>7</v>
      </c>
      <c r="R11" s="114" t="s">
        <v>7</v>
      </c>
      <c r="S11" s="114" t="s">
        <v>7</v>
      </c>
      <c r="T11" s="114" t="s">
        <v>13</v>
      </c>
      <c r="U11" s="114" t="s">
        <v>9</v>
      </c>
      <c r="V11" s="114" t="s">
        <v>9</v>
      </c>
    </row>
    <row r="12" spans="1:22" ht="27">
      <c r="A12" s="109" t="s">
        <v>96</v>
      </c>
      <c r="B12" s="52" t="s">
        <v>80</v>
      </c>
      <c r="C12" s="52">
        <v>1</v>
      </c>
      <c r="D12" s="52">
        <v>300</v>
      </c>
      <c r="E12" s="52"/>
      <c r="F12" s="52"/>
      <c r="G12" s="52"/>
      <c r="H12" s="52" t="s">
        <v>97</v>
      </c>
      <c r="I12" s="52"/>
      <c r="J12" s="93"/>
      <c r="K12" s="52" t="s">
        <v>17</v>
      </c>
      <c r="L12" s="52" t="s">
        <v>17</v>
      </c>
      <c r="M12" s="52" t="s">
        <v>15</v>
      </c>
      <c r="N12" s="52" t="s">
        <v>15</v>
      </c>
      <c r="O12" s="52" t="s">
        <v>15</v>
      </c>
      <c r="P12" s="118"/>
      <c r="Q12" s="114" t="s">
        <v>7</v>
      </c>
      <c r="R12" s="114" t="s">
        <v>7</v>
      </c>
      <c r="S12" s="114" t="s">
        <v>9</v>
      </c>
      <c r="T12" s="114" t="s">
        <v>13</v>
      </c>
      <c r="U12" s="114" t="s">
        <v>9</v>
      </c>
      <c r="V12" s="114" t="s">
        <v>9</v>
      </c>
    </row>
    <row r="14" spans="1:22">
      <c r="A14" s="248" t="s">
        <v>99</v>
      </c>
      <c r="B14" s="249"/>
      <c r="C14" s="250"/>
    </row>
    <row r="15" spans="1:22">
      <c r="A15" s="128" t="s">
        <v>100</v>
      </c>
      <c r="B15" s="129" t="s">
        <v>2</v>
      </c>
      <c r="C15" s="130" t="s">
        <v>101</v>
      </c>
    </row>
    <row r="16" spans="1:22" ht="34.5" customHeight="1">
      <c r="A16" s="255" t="s">
        <v>102</v>
      </c>
      <c r="B16" s="205" t="s">
        <v>183</v>
      </c>
      <c r="C16" s="153" t="s">
        <v>85</v>
      </c>
    </row>
    <row r="17" spans="1:18" ht="36" customHeight="1">
      <c r="A17" s="256"/>
      <c r="B17" s="206"/>
      <c r="C17" s="153" t="s">
        <v>87</v>
      </c>
    </row>
    <row r="18" spans="1:18" ht="46.5" customHeight="1">
      <c r="A18" s="154" t="s">
        <v>104</v>
      </c>
      <c r="B18" s="155" t="s">
        <v>184</v>
      </c>
      <c r="C18" s="156" t="str">
        <f>A12</f>
        <v>correo</v>
      </c>
    </row>
    <row r="20" spans="1:18">
      <c r="A20" s="251" t="s">
        <v>106</v>
      </c>
      <c r="B20" s="252"/>
      <c r="C20" s="252" t="s">
        <v>2</v>
      </c>
      <c r="D20" s="252"/>
      <c r="E20" s="252"/>
      <c r="F20" s="252"/>
      <c r="G20" s="252" t="s">
        <v>107</v>
      </c>
      <c r="H20" s="252"/>
      <c r="I20" s="252"/>
      <c r="J20" s="252" t="s">
        <v>108</v>
      </c>
      <c r="K20" s="252"/>
      <c r="L20" s="252"/>
      <c r="M20" s="252"/>
      <c r="N20" s="252"/>
      <c r="O20" s="252" t="s">
        <v>109</v>
      </c>
      <c r="P20" s="252"/>
      <c r="Q20" s="252" t="s">
        <v>185</v>
      </c>
      <c r="R20" s="257"/>
    </row>
    <row r="21" spans="1:18">
      <c r="A21" s="253"/>
      <c r="B21" s="254"/>
      <c r="C21" s="254"/>
      <c r="D21" s="254"/>
      <c r="E21" s="254"/>
      <c r="F21" s="254"/>
      <c r="G21" s="76" t="s">
        <v>110</v>
      </c>
      <c r="H21" s="76" t="s">
        <v>111</v>
      </c>
      <c r="I21" s="76" t="s">
        <v>2</v>
      </c>
      <c r="J21" s="76" t="s">
        <v>61</v>
      </c>
      <c r="K21" s="254" t="s">
        <v>2</v>
      </c>
      <c r="L21" s="254"/>
      <c r="M21" s="254"/>
      <c r="N21" s="254"/>
      <c r="O21" s="76" t="s">
        <v>112</v>
      </c>
      <c r="P21" s="76" t="s">
        <v>2</v>
      </c>
      <c r="Q21" s="76" t="s">
        <v>113</v>
      </c>
      <c r="R21" s="100" t="s">
        <v>114</v>
      </c>
    </row>
    <row r="22" spans="1:18" ht="30.75" customHeight="1">
      <c r="A22" s="258" t="s">
        <v>186</v>
      </c>
      <c r="B22" s="258"/>
      <c r="C22" s="237" t="s">
        <v>187</v>
      </c>
      <c r="D22" s="237"/>
      <c r="E22" s="237"/>
      <c r="F22" s="237"/>
      <c r="G22" s="120" t="s">
        <v>117</v>
      </c>
      <c r="H22" s="149" t="s">
        <v>80</v>
      </c>
      <c r="I22" s="120" t="s">
        <v>118</v>
      </c>
      <c r="J22" s="239" t="s">
        <v>119</v>
      </c>
      <c r="K22" s="237" t="s">
        <v>188</v>
      </c>
      <c r="L22" s="237"/>
      <c r="M22" s="237"/>
      <c r="N22" s="237"/>
      <c r="O22" s="142" t="s">
        <v>189</v>
      </c>
      <c r="P22" s="120" t="s">
        <v>190</v>
      </c>
      <c r="Q22" s="120" t="s">
        <v>191</v>
      </c>
      <c r="R22" s="120" t="s">
        <v>192</v>
      </c>
    </row>
    <row r="23" spans="1:18" ht="45.75">
      <c r="A23" s="258"/>
      <c r="B23" s="258"/>
      <c r="C23" s="237"/>
      <c r="D23" s="237"/>
      <c r="E23" s="237"/>
      <c r="F23" s="237"/>
      <c r="G23" s="120" t="s">
        <v>87</v>
      </c>
      <c r="H23" s="149" t="s">
        <v>80</v>
      </c>
      <c r="I23" s="140" t="s">
        <v>193</v>
      </c>
      <c r="J23" s="239"/>
      <c r="K23" s="237"/>
      <c r="L23" s="237"/>
      <c r="M23" s="237"/>
      <c r="N23" s="237"/>
      <c r="O23" s="142" t="s">
        <v>194</v>
      </c>
      <c r="P23" s="120" t="s">
        <v>195</v>
      </c>
      <c r="Q23" s="120" t="s">
        <v>196</v>
      </c>
      <c r="R23" s="120" t="s">
        <v>197</v>
      </c>
    </row>
    <row r="24" spans="1:18" ht="30.75">
      <c r="A24" s="258"/>
      <c r="B24" s="258"/>
      <c r="C24" s="237"/>
      <c r="D24" s="237"/>
      <c r="E24" s="237"/>
      <c r="F24" s="237"/>
      <c r="G24" s="120" t="s">
        <v>127</v>
      </c>
      <c r="H24" s="149" t="s">
        <v>80</v>
      </c>
      <c r="I24" s="140" t="s">
        <v>198</v>
      </c>
      <c r="J24" s="239"/>
      <c r="K24" s="237"/>
      <c r="L24" s="237"/>
      <c r="M24" s="237"/>
      <c r="N24" s="237"/>
      <c r="O24" s="142" t="s">
        <v>199</v>
      </c>
      <c r="P24" s="120" t="s">
        <v>200</v>
      </c>
      <c r="Q24" s="120" t="s">
        <v>154</v>
      </c>
      <c r="R24" s="120" t="s">
        <v>201</v>
      </c>
    </row>
    <row r="25" spans="1:18" ht="30.75" customHeight="1">
      <c r="A25" s="258"/>
      <c r="B25" s="258"/>
      <c r="C25" s="237"/>
      <c r="D25" s="237"/>
      <c r="E25" s="237"/>
      <c r="F25" s="237"/>
      <c r="G25" s="120" t="s">
        <v>133</v>
      </c>
      <c r="H25" s="149" t="s">
        <v>80</v>
      </c>
      <c r="I25" s="140" t="s">
        <v>202</v>
      </c>
      <c r="J25" s="239"/>
      <c r="K25" s="237"/>
      <c r="L25" s="237"/>
      <c r="M25" s="237"/>
      <c r="N25" s="237"/>
      <c r="O25" s="241" t="s">
        <v>203</v>
      </c>
      <c r="P25" s="237" t="s">
        <v>204</v>
      </c>
      <c r="Q25" s="237" t="s">
        <v>205</v>
      </c>
      <c r="R25" s="237" t="s">
        <v>201</v>
      </c>
    </row>
    <row r="26" spans="1:18" ht="26.25" customHeight="1">
      <c r="A26" s="258"/>
      <c r="B26" s="258"/>
      <c r="C26" s="237"/>
      <c r="D26" s="237"/>
      <c r="E26" s="237"/>
      <c r="F26" s="237"/>
      <c r="G26" s="120" t="s">
        <v>96</v>
      </c>
      <c r="H26" s="149" t="s">
        <v>80</v>
      </c>
      <c r="I26" s="140" t="s">
        <v>206</v>
      </c>
      <c r="J26" s="239"/>
      <c r="K26" s="237"/>
      <c r="L26" s="237"/>
      <c r="M26" s="237"/>
      <c r="N26" s="237"/>
      <c r="O26" s="241"/>
      <c r="P26" s="237"/>
      <c r="Q26" s="237"/>
      <c r="R26" s="237"/>
    </row>
    <row r="27" spans="1:18" ht="24.75" customHeight="1">
      <c r="A27" s="258"/>
      <c r="B27" s="258"/>
      <c r="C27" s="237"/>
      <c r="D27" s="237"/>
      <c r="E27" s="237"/>
      <c r="F27" s="237"/>
      <c r="G27" s="120" t="s">
        <v>207</v>
      </c>
      <c r="H27" s="149" t="s">
        <v>145</v>
      </c>
      <c r="I27" s="140" t="s">
        <v>208</v>
      </c>
      <c r="J27" s="239"/>
      <c r="K27" s="237"/>
      <c r="L27" s="237"/>
      <c r="M27" s="237"/>
      <c r="N27" s="237"/>
      <c r="O27" s="241" t="s">
        <v>209</v>
      </c>
      <c r="P27" s="237" t="s">
        <v>210</v>
      </c>
      <c r="Q27" s="237" t="s">
        <v>205</v>
      </c>
      <c r="R27" s="237" t="s">
        <v>201</v>
      </c>
    </row>
    <row r="28" spans="1:18" ht="20.25" customHeight="1">
      <c r="A28" s="258"/>
      <c r="B28" s="258"/>
      <c r="C28" s="237"/>
      <c r="D28" s="237"/>
      <c r="E28" s="237"/>
      <c r="F28" s="237"/>
      <c r="G28" s="120" t="s">
        <v>211</v>
      </c>
      <c r="H28" s="149" t="s">
        <v>93</v>
      </c>
      <c r="I28" s="140" t="s">
        <v>212</v>
      </c>
      <c r="J28" s="239"/>
      <c r="K28" s="237"/>
      <c r="L28" s="237"/>
      <c r="M28" s="237"/>
      <c r="N28" s="237"/>
      <c r="O28" s="241"/>
      <c r="P28" s="237"/>
      <c r="Q28" s="237"/>
      <c r="R28" s="237"/>
    </row>
    <row r="29" spans="1:18" ht="60.75" customHeight="1">
      <c r="A29" s="238" t="s">
        <v>213</v>
      </c>
      <c r="B29" s="238"/>
      <c r="C29" s="237" t="s">
        <v>214</v>
      </c>
      <c r="D29" s="237"/>
      <c r="E29" s="237"/>
      <c r="F29" s="237"/>
      <c r="G29" s="120" t="s">
        <v>215</v>
      </c>
      <c r="H29" s="149" t="s">
        <v>76</v>
      </c>
      <c r="I29" s="120" t="s">
        <v>216</v>
      </c>
      <c r="J29" s="237" t="s">
        <v>119</v>
      </c>
      <c r="K29" s="237" t="s">
        <v>217</v>
      </c>
      <c r="L29" s="237"/>
      <c r="M29" s="237"/>
      <c r="N29" s="237"/>
      <c r="O29" s="241" t="s">
        <v>189</v>
      </c>
      <c r="P29" s="241" t="s">
        <v>190</v>
      </c>
      <c r="Q29" s="237" t="s">
        <v>191</v>
      </c>
      <c r="R29" s="237" t="s">
        <v>218</v>
      </c>
    </row>
    <row r="30" spans="1:18" ht="60.75" customHeight="1">
      <c r="A30" s="238"/>
      <c r="B30" s="238"/>
      <c r="C30" s="237"/>
      <c r="D30" s="237"/>
      <c r="E30" s="237"/>
      <c r="F30" s="237"/>
      <c r="G30" s="120" t="s">
        <v>219</v>
      </c>
      <c r="H30" s="149" t="s">
        <v>80</v>
      </c>
      <c r="I30" s="120" t="s">
        <v>220</v>
      </c>
      <c r="J30" s="237"/>
      <c r="K30" s="237"/>
      <c r="L30" s="237"/>
      <c r="M30" s="237"/>
      <c r="N30" s="237"/>
      <c r="O30" s="241"/>
      <c r="P30" s="241"/>
      <c r="Q30" s="237"/>
      <c r="R30" s="237"/>
    </row>
    <row r="31" spans="1:18" ht="60.75" customHeight="1">
      <c r="A31" s="238"/>
      <c r="B31" s="238"/>
      <c r="C31" s="237"/>
      <c r="D31" s="237"/>
      <c r="E31" s="237"/>
      <c r="F31" s="237"/>
      <c r="G31" s="120" t="s">
        <v>221</v>
      </c>
      <c r="H31" s="149" t="s">
        <v>80</v>
      </c>
      <c r="I31" s="120" t="s">
        <v>222</v>
      </c>
      <c r="J31" s="237"/>
      <c r="K31" s="237"/>
      <c r="L31" s="237"/>
      <c r="M31" s="237"/>
      <c r="N31" s="237"/>
      <c r="O31" s="241" t="s">
        <v>223</v>
      </c>
      <c r="P31" s="237" t="s">
        <v>224</v>
      </c>
      <c r="Q31" s="120" t="s">
        <v>154</v>
      </c>
      <c r="R31" s="120" t="s">
        <v>201</v>
      </c>
    </row>
    <row r="32" spans="1:18" ht="51.75" customHeight="1">
      <c r="A32" s="238"/>
      <c r="B32" s="238"/>
      <c r="C32" s="237"/>
      <c r="D32" s="237"/>
      <c r="E32" s="237"/>
      <c r="F32" s="237"/>
      <c r="G32" s="120" t="s">
        <v>225</v>
      </c>
      <c r="H32" s="149" t="s">
        <v>80</v>
      </c>
      <c r="I32" s="120" t="s">
        <v>226</v>
      </c>
      <c r="J32" s="237"/>
      <c r="K32" s="237"/>
      <c r="L32" s="237"/>
      <c r="M32" s="237"/>
      <c r="N32" s="237"/>
      <c r="O32" s="241"/>
      <c r="P32" s="237"/>
      <c r="Q32" s="120" t="s">
        <v>227</v>
      </c>
      <c r="R32" s="120" t="s">
        <v>228</v>
      </c>
    </row>
    <row r="33" spans="1:18" ht="60.75" customHeight="1">
      <c r="A33" s="238"/>
      <c r="B33" s="238"/>
      <c r="C33" s="237"/>
      <c r="D33" s="237"/>
      <c r="E33" s="237"/>
      <c r="F33" s="237"/>
      <c r="G33" s="120" t="s">
        <v>229</v>
      </c>
      <c r="H33" s="149" t="s">
        <v>93</v>
      </c>
      <c r="I33" s="120" t="s">
        <v>230</v>
      </c>
      <c r="J33" s="237"/>
      <c r="K33" s="237"/>
      <c r="L33" s="237"/>
      <c r="M33" s="237"/>
      <c r="N33" s="237"/>
      <c r="O33" s="241" t="s">
        <v>231</v>
      </c>
      <c r="P33" s="237" t="s">
        <v>232</v>
      </c>
      <c r="Q33" s="120" t="s">
        <v>138</v>
      </c>
      <c r="R33" s="120" t="s">
        <v>233</v>
      </c>
    </row>
    <row r="34" spans="1:18" ht="39.75" customHeight="1">
      <c r="A34" s="238"/>
      <c r="B34" s="238"/>
      <c r="C34" s="237"/>
      <c r="D34" s="237"/>
      <c r="E34" s="237"/>
      <c r="F34" s="237"/>
      <c r="G34" s="120" t="s">
        <v>234</v>
      </c>
      <c r="H34" s="143" t="s">
        <v>145</v>
      </c>
      <c r="I34" s="120" t="s">
        <v>235</v>
      </c>
      <c r="J34" s="237"/>
      <c r="K34" s="237"/>
      <c r="L34" s="237"/>
      <c r="M34" s="237"/>
      <c r="N34" s="237"/>
      <c r="O34" s="241"/>
      <c r="P34" s="237"/>
      <c r="Q34" s="120" t="s">
        <v>236</v>
      </c>
      <c r="R34" s="120" t="s">
        <v>237</v>
      </c>
    </row>
    <row r="35" spans="1:18" ht="30.75" customHeight="1">
      <c r="A35" s="238" t="s">
        <v>238</v>
      </c>
      <c r="B35" s="238"/>
      <c r="C35" s="237" t="s">
        <v>239</v>
      </c>
      <c r="D35" s="237"/>
      <c r="E35" s="237"/>
      <c r="F35" s="237"/>
      <c r="G35" s="237" t="s">
        <v>240</v>
      </c>
      <c r="H35" s="239" t="s">
        <v>76</v>
      </c>
      <c r="I35" s="237" t="s">
        <v>241</v>
      </c>
      <c r="J35" s="237" t="s">
        <v>119</v>
      </c>
      <c r="K35" s="237" t="s">
        <v>242</v>
      </c>
      <c r="L35" s="237"/>
      <c r="M35" s="237"/>
      <c r="N35" s="237"/>
      <c r="O35" s="241" t="s">
        <v>243</v>
      </c>
      <c r="P35" s="237" t="s">
        <v>244</v>
      </c>
      <c r="Q35" s="120" t="s">
        <v>227</v>
      </c>
      <c r="R35" s="120" t="s">
        <v>228</v>
      </c>
    </row>
    <row r="36" spans="1:18" ht="30.75">
      <c r="A36" s="238"/>
      <c r="B36" s="238"/>
      <c r="C36" s="237"/>
      <c r="D36" s="237"/>
      <c r="E36" s="237"/>
      <c r="F36" s="237"/>
      <c r="G36" s="237"/>
      <c r="H36" s="239"/>
      <c r="I36" s="237"/>
      <c r="J36" s="237"/>
      <c r="K36" s="237"/>
      <c r="L36" s="237"/>
      <c r="M36" s="237"/>
      <c r="N36" s="237"/>
      <c r="O36" s="241"/>
      <c r="P36" s="237"/>
      <c r="Q36" s="120" t="s">
        <v>236</v>
      </c>
      <c r="R36" s="120" t="s">
        <v>237</v>
      </c>
    </row>
    <row r="37" spans="1:18" ht="45.75">
      <c r="A37" s="238"/>
      <c r="B37" s="238"/>
      <c r="C37" s="237"/>
      <c r="D37" s="237"/>
      <c r="E37" s="237"/>
      <c r="F37" s="237"/>
      <c r="G37" s="237"/>
      <c r="H37" s="239"/>
      <c r="I37" s="237"/>
      <c r="J37" s="237"/>
      <c r="K37" s="237"/>
      <c r="L37" s="237"/>
      <c r="M37" s="237"/>
      <c r="N37" s="237"/>
      <c r="O37" s="241"/>
      <c r="P37" s="237"/>
      <c r="Q37" s="120" t="s">
        <v>191</v>
      </c>
      <c r="R37" s="120" t="s">
        <v>245</v>
      </c>
    </row>
    <row r="38" spans="1:18" ht="60.75" customHeight="1">
      <c r="A38" s="238" t="s">
        <v>246</v>
      </c>
      <c r="B38" s="238"/>
      <c r="C38" s="237" t="s">
        <v>247</v>
      </c>
      <c r="D38" s="237"/>
      <c r="E38" s="237"/>
      <c r="F38" s="237"/>
      <c r="G38" s="237" t="s">
        <v>248</v>
      </c>
      <c r="H38" s="239" t="s">
        <v>80</v>
      </c>
      <c r="I38" s="237" t="s">
        <v>249</v>
      </c>
      <c r="J38" s="237" t="s">
        <v>119</v>
      </c>
      <c r="K38" s="237" t="s">
        <v>250</v>
      </c>
      <c r="L38" s="237"/>
      <c r="M38" s="237"/>
      <c r="N38" s="237"/>
      <c r="O38" s="241" t="s">
        <v>189</v>
      </c>
      <c r="P38" s="237" t="s">
        <v>190</v>
      </c>
      <c r="Q38" s="120" t="s">
        <v>191</v>
      </c>
      <c r="R38" s="120" t="s">
        <v>251</v>
      </c>
    </row>
    <row r="39" spans="1:18" ht="57" customHeight="1">
      <c r="A39" s="243"/>
      <c r="B39" s="243"/>
      <c r="C39" s="240"/>
      <c r="D39" s="240"/>
      <c r="E39" s="240"/>
      <c r="F39" s="240"/>
      <c r="G39" s="240"/>
      <c r="H39" s="244"/>
      <c r="I39" s="240"/>
      <c r="J39" s="240"/>
      <c r="K39" s="240"/>
      <c r="L39" s="240"/>
      <c r="M39" s="240"/>
      <c r="N39" s="240"/>
      <c r="O39" s="242"/>
      <c r="P39" s="240"/>
      <c r="Q39" s="150" t="s">
        <v>236</v>
      </c>
      <c r="R39" s="150" t="s">
        <v>237</v>
      </c>
    </row>
    <row r="40" spans="1:18" ht="45.75" customHeight="1">
      <c r="A40" s="234" t="s">
        <v>252</v>
      </c>
      <c r="B40" s="229"/>
      <c r="C40" s="237" t="s">
        <v>253</v>
      </c>
      <c r="D40" s="237"/>
      <c r="E40" s="237"/>
      <c r="F40" s="237"/>
      <c r="G40" s="120" t="s">
        <v>96</v>
      </c>
      <c r="H40" s="120" t="s">
        <v>80</v>
      </c>
      <c r="I40" s="120" t="s">
        <v>206</v>
      </c>
      <c r="J40" s="237" t="s">
        <v>119</v>
      </c>
      <c r="K40" s="237" t="s">
        <v>254</v>
      </c>
      <c r="L40" s="237"/>
      <c r="M40" s="237"/>
      <c r="N40" s="237"/>
      <c r="O40" s="237" t="s">
        <v>255</v>
      </c>
      <c r="P40" s="237" t="s">
        <v>256</v>
      </c>
      <c r="Q40" s="120" t="s">
        <v>257</v>
      </c>
      <c r="R40" s="120" t="s">
        <v>258</v>
      </c>
    </row>
    <row r="41" spans="1:18" ht="45.75">
      <c r="A41" s="235"/>
      <c r="B41" s="231"/>
      <c r="C41" s="237"/>
      <c r="D41" s="237"/>
      <c r="E41" s="237"/>
      <c r="F41" s="237"/>
      <c r="G41" s="237" t="s">
        <v>87</v>
      </c>
      <c r="H41" s="237" t="s">
        <v>80</v>
      </c>
      <c r="I41" s="237" t="s">
        <v>259</v>
      </c>
      <c r="J41" s="237"/>
      <c r="K41" s="237"/>
      <c r="L41" s="237"/>
      <c r="M41" s="237"/>
      <c r="N41" s="237"/>
      <c r="O41" s="237"/>
      <c r="P41" s="237"/>
      <c r="Q41" s="120" t="s">
        <v>260</v>
      </c>
      <c r="R41" s="120" t="s">
        <v>261</v>
      </c>
    </row>
    <row r="42" spans="1:18" ht="30.75">
      <c r="A42" s="236"/>
      <c r="B42" s="233"/>
      <c r="C42" s="237"/>
      <c r="D42" s="237"/>
      <c r="E42" s="237"/>
      <c r="F42" s="237"/>
      <c r="G42" s="237"/>
      <c r="H42" s="237"/>
      <c r="I42" s="237"/>
      <c r="J42" s="237"/>
      <c r="K42" s="237"/>
      <c r="L42" s="237"/>
      <c r="M42" s="237"/>
      <c r="N42" s="237"/>
      <c r="O42" s="237"/>
      <c r="P42" s="237"/>
      <c r="Q42" s="120" t="s">
        <v>236</v>
      </c>
      <c r="R42" s="120" t="s">
        <v>237</v>
      </c>
    </row>
    <row r="43" spans="1:18" ht="42.75" customHeight="1">
      <c r="A43" s="228" t="s">
        <v>262</v>
      </c>
      <c r="B43" s="229"/>
      <c r="C43" s="237" t="s">
        <v>263</v>
      </c>
      <c r="D43" s="237"/>
      <c r="E43" s="237"/>
      <c r="F43" s="237"/>
      <c r="G43" s="120" t="s">
        <v>215</v>
      </c>
      <c r="H43" s="120" t="s">
        <v>76</v>
      </c>
      <c r="I43" s="120" t="s">
        <v>264</v>
      </c>
      <c r="J43" s="237" t="s">
        <v>119</v>
      </c>
      <c r="K43" s="237" t="s">
        <v>265</v>
      </c>
      <c r="L43" s="237"/>
      <c r="M43" s="237"/>
      <c r="N43" s="237"/>
      <c r="O43" s="237"/>
      <c r="P43" s="237" t="s">
        <v>266</v>
      </c>
      <c r="Q43" s="120" t="s">
        <v>267</v>
      </c>
      <c r="R43" s="120" t="s">
        <v>228</v>
      </c>
    </row>
    <row r="44" spans="1:18" ht="31.5" customHeight="1">
      <c r="A44" s="230"/>
      <c r="B44" s="231"/>
      <c r="C44" s="237"/>
      <c r="D44" s="237"/>
      <c r="E44" s="237"/>
      <c r="F44" s="237"/>
      <c r="G44" s="237" t="s">
        <v>268</v>
      </c>
      <c r="H44" s="237" t="s">
        <v>76</v>
      </c>
      <c r="I44" s="237" t="s">
        <v>269</v>
      </c>
      <c r="J44" s="237"/>
      <c r="K44" s="237"/>
      <c r="L44" s="237"/>
      <c r="M44" s="237"/>
      <c r="N44" s="237"/>
      <c r="O44" s="237"/>
      <c r="P44" s="237"/>
      <c r="Q44" s="120" t="s">
        <v>270</v>
      </c>
      <c r="R44" s="120" t="s">
        <v>271</v>
      </c>
    </row>
    <row r="45" spans="1:18" ht="36" customHeight="1">
      <c r="A45" s="232"/>
      <c r="B45" s="233"/>
      <c r="C45" s="237"/>
      <c r="D45" s="237"/>
      <c r="E45" s="237"/>
      <c r="F45" s="237"/>
      <c r="G45" s="237"/>
      <c r="H45" s="237"/>
      <c r="I45" s="237"/>
      <c r="J45" s="237"/>
      <c r="K45" s="237"/>
      <c r="L45" s="237"/>
      <c r="M45" s="237"/>
      <c r="N45" s="237"/>
      <c r="O45" s="120"/>
      <c r="P45" s="120" t="s">
        <v>272</v>
      </c>
      <c r="Q45" s="120" t="s">
        <v>236</v>
      </c>
      <c r="R45" s="120" t="s">
        <v>237</v>
      </c>
    </row>
    <row r="46" spans="1:18" ht="49.5" customHeight="1">
      <c r="D46" s="91"/>
      <c r="E46" s="91"/>
      <c r="F46" s="91"/>
      <c r="G46" s="90"/>
    </row>
    <row r="47" spans="1:18" ht="48" customHeight="1"/>
    <row r="48" spans="1:18" ht="29.25" customHeight="1"/>
    <row r="49" ht="32.25" customHeight="1"/>
    <row r="50" ht="48.75" customHeight="1"/>
  </sheetData>
  <mergeCells count="73">
    <mergeCell ref="Q20:R20"/>
    <mergeCell ref="K21:N21"/>
    <mergeCell ref="A22:B28"/>
    <mergeCell ref="C22:F28"/>
    <mergeCell ref="K22:N28"/>
    <mergeCell ref="J22:J28"/>
    <mergeCell ref="O25:O26"/>
    <mergeCell ref="P25:P26"/>
    <mergeCell ref="Q25:Q26"/>
    <mergeCell ref="R25:R26"/>
    <mergeCell ref="O27:O28"/>
    <mergeCell ref="P27:P28"/>
    <mergeCell ref="Q27:Q28"/>
    <mergeCell ref="R27:R28"/>
    <mergeCell ref="A1:P1"/>
    <mergeCell ref="B2:P2"/>
    <mergeCell ref="B3:P3"/>
    <mergeCell ref="A14:C14"/>
    <mergeCell ref="A20:B21"/>
    <mergeCell ref="C20:F21"/>
    <mergeCell ref="G20:I20"/>
    <mergeCell ref="J20:N20"/>
    <mergeCell ref="O20:P20"/>
    <mergeCell ref="A16:A17"/>
    <mergeCell ref="B16:B17"/>
    <mergeCell ref="Q29:Q30"/>
    <mergeCell ref="R29:R30"/>
    <mergeCell ref="O31:O32"/>
    <mergeCell ref="P31:P32"/>
    <mergeCell ref="A38:B39"/>
    <mergeCell ref="O29:O30"/>
    <mergeCell ref="O33:O34"/>
    <mergeCell ref="O35:O37"/>
    <mergeCell ref="P35:P37"/>
    <mergeCell ref="P29:P30"/>
    <mergeCell ref="H38:H39"/>
    <mergeCell ref="G38:G39"/>
    <mergeCell ref="C38:F39"/>
    <mergeCell ref="A29:B34"/>
    <mergeCell ref="C29:F34"/>
    <mergeCell ref="J29:J34"/>
    <mergeCell ref="P38:P39"/>
    <mergeCell ref="O38:O39"/>
    <mergeCell ref="K38:N39"/>
    <mergeCell ref="J38:J39"/>
    <mergeCell ref="I38:I39"/>
    <mergeCell ref="P33:P34"/>
    <mergeCell ref="A35:B37"/>
    <mergeCell ref="C35:F37"/>
    <mergeCell ref="G35:G37"/>
    <mergeCell ref="H35:H37"/>
    <mergeCell ref="I35:I37"/>
    <mergeCell ref="J35:J37"/>
    <mergeCell ref="K35:N37"/>
    <mergeCell ref="K29:N34"/>
    <mergeCell ref="O43:O44"/>
    <mergeCell ref="P43:P44"/>
    <mergeCell ref="H41:H42"/>
    <mergeCell ref="G41:G42"/>
    <mergeCell ref="C40:F42"/>
    <mergeCell ref="C43:F45"/>
    <mergeCell ref="G44:G45"/>
    <mergeCell ref="H44:H45"/>
    <mergeCell ref="O40:O42"/>
    <mergeCell ref="P40:P42"/>
    <mergeCell ref="K40:N42"/>
    <mergeCell ref="J40:J42"/>
    <mergeCell ref="I41:I42"/>
    <mergeCell ref="A43:B45"/>
    <mergeCell ref="A40:B42"/>
    <mergeCell ref="I44:I45"/>
    <mergeCell ref="J43:J45"/>
    <mergeCell ref="K43:N45"/>
  </mergeCells>
  <dataValidations count="1">
    <dataValidation type="list" allowBlank="1" showInputMessage="1" showErrorMessage="1" sqref="K5:O12" xr:uid="{6DFDFF0A-8270-4486-9173-7ABA86DF2181}">
      <formula1>"Si, No"</formula1>
    </dataValidation>
  </dataValidations>
  <hyperlinks>
    <hyperlink ref="A1" location="'Objetos de Dominio'!A1" display="Volver al inicio" xr:uid="{BD3FFCC5-4B44-4838-A36D-76DB08190487}"/>
    <hyperlink ref="R4" location="'Entrenador'!A28" display="=A28" xr:uid="{A2870EFD-A505-493E-87E8-2E1411795896}"/>
    <hyperlink ref="T4" location="'Entrenador'!A37" display="=A37" xr:uid="{255B7490-DDA4-4BEF-98CA-B99448352900}"/>
    <hyperlink ref="Q4" location="'Estudiante'!A21" display="=A21" xr:uid="{B7DC66C7-CAF0-414F-9819-29E983398B1B}"/>
    <hyperlink ref="A1:P1" location="'Listado Objetos de Dominio'!A1" display="&lt;-Volver al inicio" xr:uid="{EDAD5212-8D62-4F21-A63F-5CE874FBE78D}"/>
    <hyperlink ref="C18" location="'Entrenador'!A13" display="=A13" xr:uid="{ADAE28CE-973B-4332-BB3E-5299385226D8}"/>
    <hyperlink ref="S4" location="'Entrenador'!A34" display="=A34" xr:uid="{D02D7E50-816C-414E-9B8A-1E1280A7BBF3}"/>
    <hyperlink ref="O35" location="'Entrenador'!A35" display="=A35" xr:uid="{CF3B1192-1CFE-4546-A97A-594F35828D53}"/>
    <hyperlink ref="O38" location="'Entrenador'!A35" display="=A35" xr:uid="{9668BB3D-2AF3-4F47-9B72-EB48ACB6C8C4}"/>
    <hyperlink ref="C17" location="'Entrenador'!A9" display="Numero Documento" xr:uid="{CF376373-8AE4-435E-AB07-29B629113B4E}"/>
    <hyperlink ref="B8" location="'Tipo Documento'!A1" display="Tipo Documento" xr:uid="{292447A9-2BE2-4904-BB3B-CFF794FB1D39}"/>
    <hyperlink ref="C16" location="'Entrenador'!A8" display="Tipo Documento" xr:uid="{2C3291C0-EA78-48BD-84A7-54684298608F}"/>
    <hyperlink ref="A29:B34" location="'Entrenador'!Q4" display="Modificar Información" xr:uid="{4DFA3F99-1013-4824-914E-BC886875C4A7}"/>
    <hyperlink ref="A35:B37" location="'Entrenador'!R4" display="Desactivar Entrenador" xr:uid="{E4179BBB-4B0D-4C1D-A32B-E9B8B5D14718}"/>
    <hyperlink ref="A38:B39" location="'Entrenador'!S4" display="Listar Entrenadores" xr:uid="{E613346C-2BA3-4A5F-9567-7A10D32CBD62}"/>
    <hyperlink ref="A40:B42" location="'Entrenador'!T4" display="Autenticar Entrenador" xr:uid="{3BBC931F-E7DF-4D3D-96D1-BF9F801C468B}"/>
    <hyperlink ref="A43:B45" location="'Entrenador'!U4" display="Asignar a Entrenamiento" xr:uid="{98F95249-1515-47B9-AB5B-6E513B332831}"/>
    <hyperlink ref="U4" location="'Entrenador'!A40" display="=A40" xr:uid="{4B299E79-7A92-4EE7-A8DA-C43101CFA2CE}"/>
    <hyperlink ref="V4" location="'Entrenador'!A43" display="=A43" xr:uid="{FB514896-7D41-45C1-B47A-BEE8B15890E1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49EE14D-95A1-4E14-BC4C-094E8DF0ED34}">
          <x14:formula1>
            <xm:f>Valores!$A$5:$A$10</xm:f>
          </x14:formula1>
          <xm:sqref>Q5:V12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8A474F-BF68-43D4-A149-BA9171D0CAD9}">
  <dimension ref="A1:R38"/>
  <sheetViews>
    <sheetView zoomScale="70" zoomScaleNormal="70" workbookViewId="0">
      <pane xSplit="1" topLeftCell="B1" activePane="topRight" state="frozen"/>
      <selection pane="topRight" activeCell="I16" sqref="I16"/>
    </sheetView>
  </sheetViews>
  <sheetFormatPr defaultColWidth="11.42578125" defaultRowHeight="15"/>
  <cols>
    <col min="1" max="1" width="23.85546875" style="57" bestFit="1" customWidth="1"/>
    <col min="2" max="2" width="21.28515625" style="57" customWidth="1"/>
    <col min="3" max="3" width="18.7109375" style="57" bestFit="1" customWidth="1"/>
    <col min="4" max="4" width="18.85546875" style="57" bestFit="1" customWidth="1"/>
    <col min="5" max="5" width="11.5703125" style="57" bestFit="1" customWidth="1"/>
    <col min="6" max="6" width="15.28515625" style="57" bestFit="1" customWidth="1"/>
    <col min="7" max="7" width="28.5703125" style="57" bestFit="1" customWidth="1"/>
    <col min="8" max="8" width="27.5703125" style="57" customWidth="1"/>
    <col min="9" max="9" width="79.28515625" style="57" bestFit="1" customWidth="1"/>
    <col min="10" max="10" width="18.140625" style="57" bestFit="1" customWidth="1"/>
    <col min="11" max="11" width="19.28515625" style="57" bestFit="1" customWidth="1"/>
    <col min="12" max="12" width="14.42578125" style="57" bestFit="1" customWidth="1"/>
    <col min="13" max="13" width="15.7109375" style="57" bestFit="1" customWidth="1"/>
    <col min="14" max="14" width="12.85546875" style="57" bestFit="1" customWidth="1"/>
    <col min="15" max="15" width="25" style="57" bestFit="1" customWidth="1"/>
    <col min="16" max="16" width="94.42578125" style="57" bestFit="1" customWidth="1"/>
    <col min="17" max="17" width="41.5703125" style="57" bestFit="1" customWidth="1"/>
    <col min="18" max="18" width="46.42578125" style="57" bestFit="1" customWidth="1"/>
    <col min="19" max="19" width="20.5703125" style="57" bestFit="1" customWidth="1"/>
    <col min="20" max="20" width="23.7109375" style="57" bestFit="1" customWidth="1"/>
    <col min="21" max="21" width="52.28515625" style="57" bestFit="1" customWidth="1"/>
    <col min="22" max="16384" width="11.42578125" style="57"/>
  </cols>
  <sheetData>
    <row r="1" spans="1:17">
      <c r="A1" s="245" t="s">
        <v>57</v>
      </c>
      <c r="B1" s="245"/>
      <c r="C1" s="245"/>
      <c r="D1" s="245"/>
      <c r="E1" s="245"/>
      <c r="F1" s="245"/>
      <c r="G1" s="245"/>
      <c r="H1" s="245"/>
      <c r="I1" s="245"/>
      <c r="J1" s="245"/>
      <c r="K1" s="245"/>
      <c r="L1" s="245"/>
      <c r="M1" s="245"/>
      <c r="N1" s="245"/>
      <c r="O1" s="245"/>
      <c r="P1" s="245"/>
    </row>
    <row r="2" spans="1:17">
      <c r="A2" s="62" t="s">
        <v>58</v>
      </c>
      <c r="B2" s="196" t="str">
        <f>'Listado Objetos de Dominio'!A5</f>
        <v>Administrador</v>
      </c>
      <c r="C2" s="196"/>
      <c r="D2" s="196"/>
      <c r="E2" s="196"/>
      <c r="F2" s="196"/>
      <c r="G2" s="196"/>
      <c r="H2" s="196"/>
      <c r="I2" s="196"/>
      <c r="J2" s="196"/>
      <c r="K2" s="196"/>
      <c r="L2" s="196"/>
      <c r="M2" s="196"/>
      <c r="N2" s="196"/>
      <c r="O2" s="196"/>
      <c r="P2" s="196"/>
    </row>
    <row r="3" spans="1:17">
      <c r="A3" s="62" t="s">
        <v>59</v>
      </c>
      <c r="B3" s="196" t="str">
        <f>'Listado Objetos de Dominio'!B5</f>
        <v>Objeto de dominio correspondiente a los administrador de la aplicación Cognicare</v>
      </c>
      <c r="C3" s="196"/>
      <c r="D3" s="196"/>
      <c r="E3" s="196"/>
      <c r="F3" s="196"/>
      <c r="G3" s="196"/>
      <c r="H3" s="196"/>
      <c r="I3" s="196"/>
      <c r="J3" s="196"/>
      <c r="K3" s="196"/>
      <c r="L3" s="196"/>
      <c r="M3" s="196"/>
      <c r="N3" s="196"/>
      <c r="O3" s="196"/>
      <c r="P3" s="196"/>
    </row>
    <row r="4" spans="1:17">
      <c r="A4" s="63" t="s">
        <v>60</v>
      </c>
      <c r="B4" s="10" t="s">
        <v>61</v>
      </c>
      <c r="C4" s="10" t="s">
        <v>62</v>
      </c>
      <c r="D4" s="10" t="s">
        <v>63</v>
      </c>
      <c r="E4" s="10" t="s">
        <v>64</v>
      </c>
      <c r="F4" s="10" t="s">
        <v>65</v>
      </c>
      <c r="G4" s="10" t="s">
        <v>66</v>
      </c>
      <c r="H4" s="10" t="s">
        <v>67</v>
      </c>
      <c r="I4" s="10" t="s">
        <v>68</v>
      </c>
      <c r="J4" s="10" t="s">
        <v>69</v>
      </c>
      <c r="K4" s="10" t="s">
        <v>70</v>
      </c>
      <c r="L4" s="10" t="s">
        <v>71</v>
      </c>
      <c r="M4" s="10" t="s">
        <v>72</v>
      </c>
      <c r="N4" s="10" t="s">
        <v>73</v>
      </c>
      <c r="O4" s="10" t="s">
        <v>74</v>
      </c>
      <c r="P4" s="10" t="s">
        <v>2</v>
      </c>
      <c r="Q4" s="85" t="str">
        <f>A20</f>
        <v>Autenticar Administrador</v>
      </c>
    </row>
    <row r="5" spans="1:17" ht="27">
      <c r="A5" s="64" t="s">
        <v>273</v>
      </c>
      <c r="B5" s="7" t="s">
        <v>76</v>
      </c>
      <c r="C5" s="7">
        <v>36</v>
      </c>
      <c r="D5" s="7">
        <v>36</v>
      </c>
      <c r="E5" s="7"/>
      <c r="F5" s="7"/>
      <c r="G5" s="7"/>
      <c r="H5" s="7" t="s">
        <v>77</v>
      </c>
      <c r="I5" s="7"/>
      <c r="J5" s="13"/>
      <c r="K5" s="67" t="s">
        <v>15</v>
      </c>
      <c r="L5" s="7" t="s">
        <v>17</v>
      </c>
      <c r="M5" s="7" t="s">
        <v>15</v>
      </c>
      <c r="N5" s="7" t="s">
        <v>15</v>
      </c>
      <c r="O5" s="7" t="s">
        <v>15</v>
      </c>
      <c r="P5" s="7" t="s">
        <v>274</v>
      </c>
      <c r="Q5" s="68" t="s">
        <v>9</v>
      </c>
    </row>
    <row r="6" spans="1:17">
      <c r="A6" s="64" t="s">
        <v>275</v>
      </c>
      <c r="B6" s="7" t="s">
        <v>80</v>
      </c>
      <c r="C6" s="7">
        <v>1</v>
      </c>
      <c r="D6" s="7">
        <v>200</v>
      </c>
      <c r="E6" s="7"/>
      <c r="F6" s="7"/>
      <c r="G6" s="7"/>
      <c r="H6" s="7" t="s">
        <v>276</v>
      </c>
      <c r="I6" s="7"/>
      <c r="J6" s="13"/>
      <c r="K6" s="67" t="s">
        <v>17</v>
      </c>
      <c r="L6" s="7" t="s">
        <v>17</v>
      </c>
      <c r="M6" s="7" t="s">
        <v>15</v>
      </c>
      <c r="N6" s="7" t="s">
        <v>17</v>
      </c>
      <c r="O6" s="7" t="s">
        <v>17</v>
      </c>
      <c r="P6" s="7" t="s">
        <v>277</v>
      </c>
      <c r="Q6" s="68" t="s">
        <v>9</v>
      </c>
    </row>
    <row r="7" spans="1:17">
      <c r="A7" s="64" t="s">
        <v>278</v>
      </c>
      <c r="B7" s="7" t="s">
        <v>80</v>
      </c>
      <c r="C7" s="7">
        <v>1</v>
      </c>
      <c r="D7" s="7">
        <v>200</v>
      </c>
      <c r="E7" s="7"/>
      <c r="F7" s="7"/>
      <c r="G7" s="7"/>
      <c r="H7" s="7" t="s">
        <v>276</v>
      </c>
      <c r="I7" s="7"/>
      <c r="J7" s="13"/>
      <c r="K7" s="7" t="s">
        <v>17</v>
      </c>
      <c r="L7" s="7" t="s">
        <v>17</v>
      </c>
      <c r="M7" s="7" t="s">
        <v>15</v>
      </c>
      <c r="N7" s="7" t="s">
        <v>17</v>
      </c>
      <c r="O7" s="7" t="s">
        <v>17</v>
      </c>
      <c r="P7" s="7" t="s">
        <v>279</v>
      </c>
      <c r="Q7" s="68" t="s">
        <v>9</v>
      </c>
    </row>
    <row r="8" spans="1:17" ht="27">
      <c r="A8" s="64" t="s">
        <v>47</v>
      </c>
      <c r="B8" s="147" t="s">
        <v>76</v>
      </c>
      <c r="C8" s="7"/>
      <c r="D8" s="7"/>
      <c r="E8" s="7"/>
      <c r="F8" s="7"/>
      <c r="G8" s="7"/>
      <c r="H8" s="7" t="s">
        <v>77</v>
      </c>
      <c r="I8" s="7"/>
      <c r="J8" s="13"/>
      <c r="K8" s="7" t="s">
        <v>17</v>
      </c>
      <c r="L8" s="7" t="s">
        <v>17</v>
      </c>
      <c r="M8" s="7" t="s">
        <v>15</v>
      </c>
      <c r="N8" s="7" t="s">
        <v>17</v>
      </c>
      <c r="O8" s="7" t="s">
        <v>17</v>
      </c>
      <c r="P8" s="7" t="s">
        <v>280</v>
      </c>
      <c r="Q8" s="68" t="s">
        <v>7</v>
      </c>
    </row>
    <row r="9" spans="1:17">
      <c r="A9" s="64" t="s">
        <v>281</v>
      </c>
      <c r="B9" s="7" t="s">
        <v>80</v>
      </c>
      <c r="C9" s="7">
        <v>1</v>
      </c>
      <c r="D9" s="7">
        <v>20</v>
      </c>
      <c r="E9" s="7"/>
      <c r="F9" s="7"/>
      <c r="G9" s="7"/>
      <c r="H9" s="7" t="s">
        <v>88</v>
      </c>
      <c r="I9" s="7"/>
      <c r="J9" s="13"/>
      <c r="K9" s="7" t="s">
        <v>17</v>
      </c>
      <c r="L9" s="7" t="s">
        <v>17</v>
      </c>
      <c r="M9" s="7" t="s">
        <v>15</v>
      </c>
      <c r="N9" s="7" t="s">
        <v>17</v>
      </c>
      <c r="O9" s="7" t="s">
        <v>17</v>
      </c>
      <c r="P9" s="7" t="s">
        <v>282</v>
      </c>
      <c r="Q9" s="68" t="s">
        <v>9</v>
      </c>
    </row>
    <row r="10" spans="1:17">
      <c r="A10" s="64" t="s">
        <v>283</v>
      </c>
      <c r="B10" s="7" t="s">
        <v>93</v>
      </c>
      <c r="C10" s="7"/>
      <c r="D10" s="7"/>
      <c r="E10" s="7"/>
      <c r="F10" s="7"/>
      <c r="G10" s="7"/>
      <c r="H10" s="7" t="s">
        <v>94</v>
      </c>
      <c r="I10" s="7"/>
      <c r="J10" s="13"/>
      <c r="K10" s="7" t="s">
        <v>17</v>
      </c>
      <c r="L10" s="7" t="s">
        <v>17</v>
      </c>
      <c r="M10" s="7" t="s">
        <v>15</v>
      </c>
      <c r="N10" s="7"/>
      <c r="O10" s="7"/>
      <c r="P10" s="7" t="s">
        <v>284</v>
      </c>
      <c r="Q10" s="68" t="s">
        <v>9</v>
      </c>
    </row>
    <row r="11" spans="1:17" ht="21.75" customHeight="1">
      <c r="A11" s="64" t="s">
        <v>285</v>
      </c>
      <c r="B11" s="7" t="s">
        <v>93</v>
      </c>
      <c r="C11" s="7"/>
      <c r="D11" s="7"/>
      <c r="E11" s="7"/>
      <c r="F11" s="7"/>
      <c r="G11" s="7"/>
      <c r="H11" s="7" t="s">
        <v>94</v>
      </c>
      <c r="I11" s="7"/>
      <c r="J11" s="13"/>
      <c r="K11" s="7" t="s">
        <v>17</v>
      </c>
      <c r="L11" s="7" t="s">
        <v>17</v>
      </c>
      <c r="M11" s="7" t="s">
        <v>15</v>
      </c>
      <c r="N11" s="7" t="s">
        <v>17</v>
      </c>
      <c r="O11" s="7" t="s">
        <v>17</v>
      </c>
      <c r="P11" s="7" t="s">
        <v>286</v>
      </c>
      <c r="Q11" s="68" t="s">
        <v>9</v>
      </c>
    </row>
    <row r="13" spans="1:17">
      <c r="A13" s="281" t="s">
        <v>99</v>
      </c>
      <c r="B13" s="282"/>
      <c r="C13" s="283"/>
    </row>
    <row r="14" spans="1:17">
      <c r="A14" s="65" t="s">
        <v>100</v>
      </c>
      <c r="B14" s="61" t="s">
        <v>2</v>
      </c>
      <c r="C14" s="69" t="s">
        <v>101</v>
      </c>
    </row>
    <row r="15" spans="1:17" ht="23.25" customHeight="1">
      <c r="A15" s="285" t="s">
        <v>102</v>
      </c>
      <c r="B15" s="287" t="s">
        <v>287</v>
      </c>
      <c r="C15" s="70" t="s">
        <v>85</v>
      </c>
    </row>
    <row r="16" spans="1:17" ht="32.25" customHeight="1">
      <c r="A16" s="286"/>
      <c r="B16" s="288"/>
      <c r="C16" s="70" t="s">
        <v>87</v>
      </c>
    </row>
    <row r="18" spans="1:18">
      <c r="A18" s="251" t="s">
        <v>106</v>
      </c>
      <c r="B18" s="252"/>
      <c r="C18" s="252" t="s">
        <v>2</v>
      </c>
      <c r="D18" s="252"/>
      <c r="E18" s="252"/>
      <c r="F18" s="252"/>
      <c r="G18" s="252" t="s">
        <v>107</v>
      </c>
      <c r="H18" s="252"/>
      <c r="I18" s="252"/>
      <c r="J18" s="252" t="s">
        <v>108</v>
      </c>
      <c r="K18" s="252"/>
      <c r="L18" s="252"/>
      <c r="M18" s="252"/>
      <c r="N18" s="252"/>
      <c r="O18" s="252" t="s">
        <v>109</v>
      </c>
      <c r="P18" s="252"/>
      <c r="Q18" s="252" t="s">
        <v>185</v>
      </c>
      <c r="R18" s="257"/>
    </row>
    <row r="19" spans="1:18">
      <c r="A19" s="284"/>
      <c r="B19" s="280"/>
      <c r="C19" s="280"/>
      <c r="D19" s="280"/>
      <c r="E19" s="280"/>
      <c r="F19" s="280"/>
      <c r="G19" s="60" t="s">
        <v>110</v>
      </c>
      <c r="H19" s="60" t="s">
        <v>111</v>
      </c>
      <c r="I19" s="60" t="s">
        <v>2</v>
      </c>
      <c r="J19" s="60" t="s">
        <v>61</v>
      </c>
      <c r="K19" s="280" t="s">
        <v>2</v>
      </c>
      <c r="L19" s="280"/>
      <c r="M19" s="280"/>
      <c r="N19" s="280"/>
      <c r="O19" s="60" t="s">
        <v>112</v>
      </c>
      <c r="P19" s="60" t="s">
        <v>2</v>
      </c>
      <c r="Q19" s="60" t="s">
        <v>113</v>
      </c>
      <c r="R19" s="71" t="s">
        <v>114</v>
      </c>
    </row>
    <row r="20" spans="1:18" ht="28.5" customHeight="1">
      <c r="A20" s="274" t="s">
        <v>288</v>
      </c>
      <c r="B20" s="275"/>
      <c r="C20" s="265" t="s">
        <v>289</v>
      </c>
      <c r="D20" s="266"/>
      <c r="E20" s="266"/>
      <c r="F20" s="267"/>
      <c r="G20" s="259" t="s">
        <v>87</v>
      </c>
      <c r="H20" s="259" t="s">
        <v>80</v>
      </c>
      <c r="I20" s="259" t="s">
        <v>290</v>
      </c>
      <c r="J20" s="262" t="s">
        <v>119</v>
      </c>
      <c r="K20" s="265" t="s">
        <v>291</v>
      </c>
      <c r="L20" s="266"/>
      <c r="M20" s="266"/>
      <c r="N20" s="267"/>
      <c r="O20" s="148" t="s">
        <v>292</v>
      </c>
      <c r="P20" s="22" t="s">
        <v>293</v>
      </c>
      <c r="Q20" s="22" t="s">
        <v>294</v>
      </c>
      <c r="R20" s="72" t="s">
        <v>295</v>
      </c>
    </row>
    <row r="21" spans="1:18" ht="30.75">
      <c r="A21" s="276"/>
      <c r="B21" s="277"/>
      <c r="C21" s="268"/>
      <c r="D21" s="269"/>
      <c r="E21" s="269"/>
      <c r="F21" s="270"/>
      <c r="G21" s="260"/>
      <c r="H21" s="260"/>
      <c r="I21" s="260"/>
      <c r="J21" s="263"/>
      <c r="K21" s="268"/>
      <c r="L21" s="269"/>
      <c r="M21" s="269"/>
      <c r="N21" s="270"/>
      <c r="O21" s="148" t="s">
        <v>296</v>
      </c>
      <c r="P21" s="22" t="s">
        <v>297</v>
      </c>
      <c r="Q21" s="22" t="s">
        <v>138</v>
      </c>
      <c r="R21" s="72" t="s">
        <v>295</v>
      </c>
    </row>
    <row r="22" spans="1:18">
      <c r="A22" s="278"/>
      <c r="B22" s="279"/>
      <c r="C22" s="271"/>
      <c r="D22" s="272"/>
      <c r="E22" s="272"/>
      <c r="F22" s="273"/>
      <c r="G22" s="261"/>
      <c r="H22" s="261"/>
      <c r="I22" s="261"/>
      <c r="J22" s="264"/>
      <c r="K22" s="271"/>
      <c r="L22" s="272"/>
      <c r="M22" s="272"/>
      <c r="N22" s="273"/>
      <c r="O22" s="148" t="s">
        <v>298</v>
      </c>
      <c r="P22" s="22" t="s">
        <v>299</v>
      </c>
      <c r="Q22" s="22" t="s">
        <v>236</v>
      </c>
      <c r="R22" s="72" t="s">
        <v>237</v>
      </c>
    </row>
    <row r="24" spans="1:18" ht="27" customHeight="1"/>
    <row r="25" spans="1:18" ht="30" customHeight="1"/>
    <row r="26" spans="1:18" ht="31.5" customHeight="1"/>
    <row r="27" spans="1:18" ht="30.75" customHeight="1"/>
    <row r="28" spans="1:18" ht="30.75" customHeight="1"/>
    <row r="29" spans="1:18" ht="17.25" customHeight="1"/>
    <row r="30" spans="1:18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</sheetData>
  <mergeCells count="20">
    <mergeCell ref="Q18:R18"/>
    <mergeCell ref="K19:N19"/>
    <mergeCell ref="A1:P1"/>
    <mergeCell ref="B2:P2"/>
    <mergeCell ref="B3:P3"/>
    <mergeCell ref="A13:C13"/>
    <mergeCell ref="A18:B19"/>
    <mergeCell ref="C18:F19"/>
    <mergeCell ref="G18:I18"/>
    <mergeCell ref="J18:N18"/>
    <mergeCell ref="O18:P18"/>
    <mergeCell ref="A15:A16"/>
    <mergeCell ref="B15:B16"/>
    <mergeCell ref="H20:H22"/>
    <mergeCell ref="I20:I22"/>
    <mergeCell ref="J20:J22"/>
    <mergeCell ref="K20:N22"/>
    <mergeCell ref="A20:B22"/>
    <mergeCell ref="C20:F22"/>
    <mergeCell ref="G20:G22"/>
  </mergeCells>
  <dataValidations count="1">
    <dataValidation type="list" allowBlank="1" showInputMessage="1" showErrorMessage="1" sqref="K5:O11" xr:uid="{648E811B-289B-4505-937E-418CFC7DCD19}">
      <formula1>"Si, No"</formula1>
    </dataValidation>
  </dataValidations>
  <hyperlinks>
    <hyperlink ref="A1" location="'Objetos de Dominio'!A1" display="Volver al inicio" xr:uid="{28244AF5-4326-4E0B-8F73-B63F5E40E589}"/>
    <hyperlink ref="Q4" location="'Administrador'!A20" display="=A20" xr:uid="{53A5EF2B-3CE5-4480-A1A8-4D5D6A47B42E}"/>
    <hyperlink ref="A1:P1" location="'Listado Objetos de Dominio'!A1" display="&lt;-Volver al inicio" xr:uid="{9297EB3A-3FCD-4EE9-A41D-11EC734D4F28}"/>
    <hyperlink ref="B8" location="'Tipo Documento'!A1" display="Tipo Documento" xr:uid="{518F55F1-C3BD-4E12-9090-7160E91CE13E}"/>
    <hyperlink ref="C15" location="'Administrador'!A8" display="Tipo Documento" xr:uid="{6DD78DD4-4F99-49D1-B193-996C44B6FE70}"/>
    <hyperlink ref="C16" location="'Administrador'!A9" display="Numero Documento" xr:uid="{EFE3B2E4-74F8-4B6B-8B04-124B1AB1D33E}"/>
  </hyperlink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3AD9024-F864-439B-A65A-E2BA25B052CA}">
          <x14:formula1>
            <xm:f>Valores!$A$3:$A$10</xm:f>
          </x14:formula1>
          <xm:sqref>Q5:Q11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EB137-A65F-4174-863E-D161DE5BAE2C}">
  <dimension ref="A1:R31"/>
  <sheetViews>
    <sheetView zoomScale="70" zoomScaleNormal="70" workbookViewId="0">
      <selection activeCell="R11" sqref="R11"/>
    </sheetView>
  </sheetViews>
  <sheetFormatPr defaultColWidth="11.42578125" defaultRowHeight="15"/>
  <cols>
    <col min="1" max="1" width="23.85546875" style="57" bestFit="1" customWidth="1"/>
    <col min="2" max="2" width="21" style="57" customWidth="1"/>
    <col min="3" max="3" width="18.7109375" style="57" bestFit="1" customWidth="1"/>
    <col min="4" max="4" width="18.85546875" style="57" bestFit="1" customWidth="1"/>
    <col min="5" max="5" width="11.5703125" style="57" bestFit="1" customWidth="1"/>
    <col min="6" max="6" width="15.28515625" style="57" bestFit="1" customWidth="1"/>
    <col min="7" max="7" width="28.5703125" style="57" bestFit="1" customWidth="1"/>
    <col min="8" max="8" width="16.85546875" style="57" bestFit="1" customWidth="1"/>
    <col min="9" max="9" width="79.28515625" style="57" bestFit="1" customWidth="1"/>
    <col min="10" max="10" width="18.140625" style="57" bestFit="1" customWidth="1"/>
    <col min="11" max="11" width="19.28515625" style="57" bestFit="1" customWidth="1"/>
    <col min="12" max="12" width="14.42578125" style="57" bestFit="1" customWidth="1"/>
    <col min="13" max="13" width="15.7109375" style="57" bestFit="1" customWidth="1"/>
    <col min="14" max="14" width="12.85546875" style="57" bestFit="1" customWidth="1"/>
    <col min="15" max="15" width="27.28515625" style="57" customWidth="1"/>
    <col min="16" max="16" width="94.42578125" style="57" bestFit="1" customWidth="1"/>
    <col min="17" max="17" width="43.28515625" style="57" bestFit="1" customWidth="1"/>
    <col min="18" max="18" width="46.42578125" style="57" bestFit="1" customWidth="1"/>
    <col min="19" max="19" width="50.140625" style="57" bestFit="1" customWidth="1"/>
    <col min="20" max="20" width="52.28515625" style="57" bestFit="1" customWidth="1"/>
    <col min="21" max="16384" width="11.42578125" style="57"/>
  </cols>
  <sheetData>
    <row r="1" spans="1:18">
      <c r="A1" s="245" t="s">
        <v>57</v>
      </c>
      <c r="B1" s="245"/>
      <c r="C1" s="245"/>
      <c r="D1" s="245"/>
      <c r="E1" s="245"/>
      <c r="F1" s="245"/>
      <c r="G1" s="245"/>
      <c r="H1" s="245"/>
      <c r="I1" s="245"/>
      <c r="J1" s="245"/>
      <c r="K1" s="245"/>
      <c r="L1" s="245"/>
      <c r="M1" s="245"/>
      <c r="N1" s="245"/>
      <c r="O1" s="245"/>
      <c r="P1" s="245"/>
    </row>
    <row r="2" spans="1:18">
      <c r="A2" s="62" t="s">
        <v>58</v>
      </c>
      <c r="B2" s="196" t="str">
        <f>'Listado Objetos de Dominio'!A6</f>
        <v>Estudiante Programa</v>
      </c>
      <c r="C2" s="196"/>
      <c r="D2" s="196"/>
      <c r="E2" s="196"/>
      <c r="F2" s="196"/>
      <c r="G2" s="196"/>
      <c r="H2" s="196"/>
      <c r="I2" s="196"/>
      <c r="J2" s="196"/>
      <c r="K2" s="196"/>
      <c r="L2" s="196"/>
      <c r="M2" s="196"/>
      <c r="N2" s="196"/>
      <c r="O2" s="196"/>
      <c r="P2" s="196"/>
    </row>
    <row r="3" spans="1:18">
      <c r="A3" s="62" t="s">
        <v>59</v>
      </c>
      <c r="B3" s="196" t="str">
        <f>'Listado Objetos de Dominio'!B6</f>
        <v>Objeto de dominio que contiene a los programas por estudiante</v>
      </c>
      <c r="C3" s="196"/>
      <c r="D3" s="196"/>
      <c r="E3" s="196"/>
      <c r="F3" s="196"/>
      <c r="G3" s="196"/>
      <c r="H3" s="196"/>
      <c r="I3" s="196"/>
      <c r="J3" s="196"/>
      <c r="K3" s="196"/>
      <c r="L3" s="196"/>
      <c r="M3" s="196"/>
      <c r="N3" s="196"/>
      <c r="O3" s="196"/>
      <c r="P3" s="196"/>
    </row>
    <row r="4" spans="1:18" ht="30.75">
      <c r="A4" s="63" t="s">
        <v>60</v>
      </c>
      <c r="B4" s="10" t="s">
        <v>61</v>
      </c>
      <c r="C4" s="10" t="s">
        <v>62</v>
      </c>
      <c r="D4" s="10" t="s">
        <v>63</v>
      </c>
      <c r="E4" s="10" t="s">
        <v>64</v>
      </c>
      <c r="F4" s="10" t="s">
        <v>65</v>
      </c>
      <c r="G4" s="10" t="s">
        <v>66</v>
      </c>
      <c r="H4" s="10" t="s">
        <v>67</v>
      </c>
      <c r="I4" s="10" t="s">
        <v>68</v>
      </c>
      <c r="J4" s="10" t="s">
        <v>69</v>
      </c>
      <c r="K4" s="10" t="s">
        <v>70</v>
      </c>
      <c r="L4" s="10" t="s">
        <v>71</v>
      </c>
      <c r="M4" s="10" t="s">
        <v>72</v>
      </c>
      <c r="N4" s="10" t="s">
        <v>73</v>
      </c>
      <c r="O4" s="10" t="s">
        <v>74</v>
      </c>
      <c r="P4" s="10" t="s">
        <v>2</v>
      </c>
      <c r="Q4" s="115" t="str">
        <f>A18</f>
        <v>Asociar Programa(s)</v>
      </c>
      <c r="R4" s="115" t="str">
        <f>A21</f>
        <v>Modificar Asociaciones (Durante la Actualización de Estudiante)</v>
      </c>
    </row>
    <row r="5" spans="1:18">
      <c r="A5" s="64" t="s">
        <v>273</v>
      </c>
      <c r="B5" s="7" t="s">
        <v>300</v>
      </c>
      <c r="C5" s="7">
        <v>2</v>
      </c>
      <c r="D5" s="7">
        <v>50</v>
      </c>
      <c r="E5" s="7"/>
      <c r="F5" s="7"/>
      <c r="G5" s="7"/>
      <c r="H5" s="7" t="s">
        <v>301</v>
      </c>
      <c r="I5" s="7"/>
      <c r="J5" s="13"/>
      <c r="K5" s="67" t="s">
        <v>15</v>
      </c>
      <c r="L5" s="7" t="s">
        <v>17</v>
      </c>
      <c r="M5" s="7" t="s">
        <v>15</v>
      </c>
      <c r="N5" s="7" t="s">
        <v>15</v>
      </c>
      <c r="O5" s="7" t="s">
        <v>15</v>
      </c>
      <c r="P5" s="7" t="s">
        <v>302</v>
      </c>
      <c r="Q5" s="116" t="s">
        <v>7</v>
      </c>
      <c r="R5" s="116" t="s">
        <v>7</v>
      </c>
    </row>
    <row r="6" spans="1:18" ht="40.5">
      <c r="A6" s="64" t="s">
        <v>27</v>
      </c>
      <c r="B6" s="147" t="s">
        <v>76</v>
      </c>
      <c r="C6" s="7"/>
      <c r="D6" s="7"/>
      <c r="E6" s="7"/>
      <c r="F6" s="7"/>
      <c r="G6" s="7"/>
      <c r="H6" s="7" t="s">
        <v>77</v>
      </c>
      <c r="I6" s="7"/>
      <c r="J6" s="13"/>
      <c r="K6" s="67" t="s">
        <v>17</v>
      </c>
      <c r="L6" s="7" t="s">
        <v>17</v>
      </c>
      <c r="M6" s="7" t="s">
        <v>15</v>
      </c>
      <c r="N6" s="7" t="s">
        <v>17</v>
      </c>
      <c r="O6" s="7" t="s">
        <v>17</v>
      </c>
      <c r="P6" s="7" t="s">
        <v>303</v>
      </c>
      <c r="Q6" s="116" t="s">
        <v>7</v>
      </c>
      <c r="R6" s="116" t="s">
        <v>7</v>
      </c>
    </row>
    <row r="7" spans="1:18" ht="40.5">
      <c r="A7" s="64" t="s">
        <v>49</v>
      </c>
      <c r="B7" s="147" t="s">
        <v>76</v>
      </c>
      <c r="C7" s="7"/>
      <c r="D7" s="7"/>
      <c r="E7" s="7"/>
      <c r="F7" s="7"/>
      <c r="G7" s="7"/>
      <c r="H7" s="7" t="s">
        <v>77</v>
      </c>
      <c r="I7" s="7"/>
      <c r="J7" s="13"/>
      <c r="K7" s="7" t="s">
        <v>17</v>
      </c>
      <c r="L7" s="7" t="s">
        <v>17</v>
      </c>
      <c r="M7" s="7" t="s">
        <v>15</v>
      </c>
      <c r="N7" s="7" t="s">
        <v>17</v>
      </c>
      <c r="O7" s="7" t="s">
        <v>17</v>
      </c>
      <c r="P7" s="7" t="s">
        <v>86</v>
      </c>
      <c r="Q7" s="116" t="s">
        <v>7</v>
      </c>
      <c r="R7" s="116" t="s">
        <v>7</v>
      </c>
    </row>
    <row r="9" spans="1:18">
      <c r="A9" s="281" t="s">
        <v>99</v>
      </c>
      <c r="B9" s="282"/>
      <c r="C9" s="283"/>
    </row>
    <row r="10" spans="1:18">
      <c r="A10" s="65" t="s">
        <v>100</v>
      </c>
      <c r="B10" s="61" t="s">
        <v>2</v>
      </c>
      <c r="C10" s="69" t="s">
        <v>101</v>
      </c>
    </row>
    <row r="11" spans="1:18" ht="35.25" customHeight="1">
      <c r="A11" s="285" t="s">
        <v>102</v>
      </c>
      <c r="B11" s="287" t="s">
        <v>304</v>
      </c>
      <c r="C11" s="70" t="s">
        <v>27</v>
      </c>
    </row>
    <row r="12" spans="1:18" ht="24.75" customHeight="1">
      <c r="A12" s="286"/>
      <c r="B12" s="288"/>
      <c r="C12" s="70" t="s">
        <v>49</v>
      </c>
    </row>
    <row r="14" spans="1:18" ht="55.5" customHeight="1">
      <c r="A14" s="304" t="s">
        <v>305</v>
      </c>
      <c r="B14" s="304"/>
      <c r="C14" s="304"/>
      <c r="D14" s="304"/>
      <c r="E14" s="304"/>
      <c r="F14" s="304"/>
      <c r="G14" s="304"/>
    </row>
    <row r="16" spans="1:18" ht="51" customHeight="1">
      <c r="A16" s="291" t="s">
        <v>106</v>
      </c>
      <c r="B16" s="292"/>
      <c r="C16" s="295" t="s">
        <v>2</v>
      </c>
      <c r="D16" s="296"/>
      <c r="E16" s="296"/>
      <c r="F16" s="292"/>
      <c r="G16" s="289" t="s">
        <v>107</v>
      </c>
      <c r="H16" s="299"/>
      <c r="I16" s="300"/>
      <c r="J16" s="289" t="s">
        <v>108</v>
      </c>
      <c r="K16" s="299"/>
      <c r="L16" s="299"/>
      <c r="M16" s="299"/>
      <c r="N16" s="300"/>
      <c r="O16" s="289" t="s">
        <v>109</v>
      </c>
      <c r="P16" s="300"/>
      <c r="Q16" s="289" t="s">
        <v>185</v>
      </c>
      <c r="R16" s="290"/>
    </row>
    <row r="17" spans="1:18">
      <c r="A17" s="293"/>
      <c r="B17" s="294"/>
      <c r="C17" s="297"/>
      <c r="D17" s="298"/>
      <c r="E17" s="298"/>
      <c r="F17" s="294"/>
      <c r="G17" s="76" t="s">
        <v>110</v>
      </c>
      <c r="H17" s="76" t="s">
        <v>111</v>
      </c>
      <c r="I17" s="76" t="s">
        <v>2</v>
      </c>
      <c r="J17" s="76" t="s">
        <v>61</v>
      </c>
      <c r="K17" s="301" t="s">
        <v>2</v>
      </c>
      <c r="L17" s="302"/>
      <c r="M17" s="302"/>
      <c r="N17" s="303"/>
      <c r="O17" s="76" t="s">
        <v>112</v>
      </c>
      <c r="P17" s="76" t="s">
        <v>2</v>
      </c>
      <c r="Q17" s="76" t="s">
        <v>113</v>
      </c>
      <c r="R17" s="100" t="s">
        <v>114</v>
      </c>
    </row>
    <row r="18" spans="1:18" ht="121.5" customHeight="1">
      <c r="A18" s="234" t="s">
        <v>306</v>
      </c>
      <c r="B18" s="228"/>
      <c r="C18" s="237" t="s">
        <v>307</v>
      </c>
      <c r="D18" s="237"/>
      <c r="E18" s="237"/>
      <c r="F18" s="237"/>
      <c r="G18" s="120" t="s">
        <v>308</v>
      </c>
      <c r="H18" s="120" t="s">
        <v>76</v>
      </c>
      <c r="I18" s="120" t="s">
        <v>309</v>
      </c>
      <c r="J18" s="237"/>
      <c r="K18" s="237"/>
      <c r="L18" s="237"/>
      <c r="M18" s="237"/>
      <c r="N18" s="237"/>
      <c r="O18" s="120" t="s">
        <v>310</v>
      </c>
      <c r="P18" s="120" t="s">
        <v>311</v>
      </c>
      <c r="Q18" s="120" t="s">
        <v>312</v>
      </c>
      <c r="R18" s="120" t="s">
        <v>313</v>
      </c>
    </row>
    <row r="19" spans="1:18" s="90" customFormat="1" ht="30.75">
      <c r="A19" s="235"/>
      <c r="B19" s="230"/>
      <c r="C19" s="237"/>
      <c r="D19" s="237"/>
      <c r="E19" s="237"/>
      <c r="F19" s="237"/>
      <c r="G19" s="237" t="s">
        <v>144</v>
      </c>
      <c r="H19" s="237" t="s">
        <v>145</v>
      </c>
      <c r="I19" s="237" t="s">
        <v>314</v>
      </c>
      <c r="J19" s="237"/>
      <c r="K19" s="237"/>
      <c r="L19" s="237"/>
      <c r="M19" s="237"/>
      <c r="N19" s="237"/>
      <c r="O19" s="120" t="s">
        <v>315</v>
      </c>
      <c r="P19" s="120" t="s">
        <v>316</v>
      </c>
      <c r="Q19" s="120" t="s">
        <v>317</v>
      </c>
      <c r="R19" s="120" t="s">
        <v>318</v>
      </c>
    </row>
    <row r="20" spans="1:18" s="90" customFormat="1" ht="30.75">
      <c r="A20" s="236"/>
      <c r="B20" s="232"/>
      <c r="C20" s="237"/>
      <c r="D20" s="237"/>
      <c r="E20" s="237"/>
      <c r="F20" s="237"/>
      <c r="G20" s="237"/>
      <c r="H20" s="237"/>
      <c r="I20" s="237"/>
      <c r="J20" s="237"/>
      <c r="K20" s="237"/>
      <c r="L20" s="237"/>
      <c r="M20" s="237"/>
      <c r="N20" s="237"/>
      <c r="O20" s="120" t="s">
        <v>319</v>
      </c>
      <c r="P20" s="120" t="s">
        <v>320</v>
      </c>
      <c r="Q20" s="120" t="s">
        <v>131</v>
      </c>
      <c r="R20" s="120" t="s">
        <v>321</v>
      </c>
    </row>
    <row r="21" spans="1:18" s="90" customFormat="1" ht="76.5" customHeight="1">
      <c r="A21" s="234" t="s">
        <v>322</v>
      </c>
      <c r="B21" s="228"/>
      <c r="C21" s="237" t="s">
        <v>323</v>
      </c>
      <c r="D21" s="237"/>
      <c r="E21" s="237"/>
      <c r="F21" s="237"/>
      <c r="G21" s="120" t="s">
        <v>308</v>
      </c>
      <c r="H21" s="120" t="s">
        <v>76</v>
      </c>
      <c r="I21" s="120" t="s">
        <v>324</v>
      </c>
      <c r="J21" s="237"/>
      <c r="K21" s="237"/>
      <c r="L21" s="237"/>
      <c r="M21" s="237"/>
      <c r="N21" s="237"/>
      <c r="O21" s="237" t="s">
        <v>325</v>
      </c>
      <c r="P21" s="237" t="s">
        <v>326</v>
      </c>
      <c r="Q21" s="237" t="s">
        <v>131</v>
      </c>
      <c r="R21" s="237" t="s">
        <v>327</v>
      </c>
    </row>
    <row r="22" spans="1:18" ht="30.75" customHeight="1">
      <c r="A22" s="236"/>
      <c r="B22" s="232"/>
      <c r="C22" s="237"/>
      <c r="D22" s="237"/>
      <c r="E22" s="237"/>
      <c r="F22" s="237"/>
      <c r="G22" s="120" t="s">
        <v>144</v>
      </c>
      <c r="H22" s="120" t="s">
        <v>145</v>
      </c>
      <c r="I22" s="120" t="s">
        <v>328</v>
      </c>
      <c r="J22" s="237"/>
      <c r="K22" s="237"/>
      <c r="L22" s="237"/>
      <c r="M22" s="237"/>
      <c r="N22" s="237"/>
      <c r="O22" s="237"/>
      <c r="P22" s="237"/>
      <c r="Q22" s="237"/>
      <c r="R22" s="237"/>
    </row>
    <row r="23" spans="1:18" ht="30.75" customHeight="1"/>
    <row r="25" spans="1:18" ht="60.75" customHeight="1"/>
    <row r="31" spans="1:18" ht="30.75" customHeight="1"/>
  </sheetData>
  <mergeCells count="29">
    <mergeCell ref="J18:J20"/>
    <mergeCell ref="K18:N20"/>
    <mergeCell ref="A1:P1"/>
    <mergeCell ref="B2:P2"/>
    <mergeCell ref="B3:P3"/>
    <mergeCell ref="A9:C9"/>
    <mergeCell ref="A11:A12"/>
    <mergeCell ref="B11:B12"/>
    <mergeCell ref="A14:G14"/>
    <mergeCell ref="A18:B20"/>
    <mergeCell ref="C18:F20"/>
    <mergeCell ref="G19:G20"/>
    <mergeCell ref="H19:H20"/>
    <mergeCell ref="I19:I20"/>
    <mergeCell ref="O16:P16"/>
    <mergeCell ref="R21:R22"/>
    <mergeCell ref="A21:B22"/>
    <mergeCell ref="C21:F22"/>
    <mergeCell ref="J21:J22"/>
    <mergeCell ref="K21:N22"/>
    <mergeCell ref="O21:O22"/>
    <mergeCell ref="P21:P22"/>
    <mergeCell ref="Q21:Q22"/>
    <mergeCell ref="Q16:R16"/>
    <mergeCell ref="A16:B17"/>
    <mergeCell ref="C16:F17"/>
    <mergeCell ref="G16:I16"/>
    <mergeCell ref="J16:N16"/>
    <mergeCell ref="K17:N17"/>
  </mergeCells>
  <dataValidations count="1">
    <dataValidation type="list" allowBlank="1" showInputMessage="1" showErrorMessage="1" sqref="K5:O7" xr:uid="{0B10920B-AC95-45B9-839C-45E9C30F5443}">
      <formula1>"Si,No"</formula1>
    </dataValidation>
  </dataValidations>
  <hyperlinks>
    <hyperlink ref="A1" location="'Objetos de Dominio'!A1" display="Volver al inicio" xr:uid="{B3614782-AB7D-45F3-A92C-13277BC275A8}"/>
    <hyperlink ref="Q4" location="'Estudiante Programa'!A18" display="=A18" xr:uid="{0AF4866F-63B5-49DF-A352-3327D3C7530E}"/>
    <hyperlink ref="A1:P1" location="'Listado Objetos de Dominio'!A1" display="&lt;-Volver al inicio" xr:uid="{7E378465-719C-49E3-8B5B-9561611783D4}"/>
    <hyperlink ref="C12" location="'Programa'!A7" display="Programa" xr:uid="{2A1B7DCE-1221-4EBF-B608-82FCFCA0F144}"/>
    <hyperlink ref="R4" location="'Estudiante Programa'!A21" display="=A21" xr:uid="{A74E6188-26F2-4B07-A744-411546DD6C2F}"/>
    <hyperlink ref="C11" location="'Estudiante Programa'!A6" display="Estudiante" xr:uid="{294C235F-6D47-4511-A315-544083F07CE9}"/>
    <hyperlink ref="A18:B20" location="'Estudiante Programa'!Q4" display="Asociar Programa(s)" xr:uid="{6160A7BC-5C2A-41E1-B855-83E4049423A5}"/>
    <hyperlink ref="A21:B22" location="'Estudiante Programa'!R4" display="Modificar Asociaciones (Durante la Actualización de Estudiante)" xr:uid="{57371F0A-D9E6-4065-B699-FC72681E3DDA}"/>
    <hyperlink ref="B6" location="'Estudiante'!A1" display="Estudiante" xr:uid="{40B70D37-7E6F-45F9-B685-81F48AA284EB}"/>
    <hyperlink ref="B7" location="'Programa'!A1" display="Programa" xr:uid="{452818DA-F6AE-4D7F-8427-3D94047058E0}"/>
  </hyperlink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05F57EA-C540-4BFC-B0F2-F721CE983153}">
          <x14:formula1>
            <xm:f>Valores!$A$3:$A$10</xm:f>
          </x14:formula1>
          <xm:sqref>Q5:R7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6C4DEF-7DB6-47C3-A5B1-1BF0CCC2E284}">
  <dimension ref="A1:R22"/>
  <sheetViews>
    <sheetView zoomScale="70" zoomScaleNormal="70" workbookViewId="0">
      <selection activeCell="J5" sqref="J5"/>
    </sheetView>
  </sheetViews>
  <sheetFormatPr defaultColWidth="11.42578125" defaultRowHeight="15"/>
  <cols>
    <col min="1" max="1" width="23.85546875" style="57" bestFit="1" customWidth="1"/>
    <col min="2" max="2" width="21" style="57" customWidth="1"/>
    <col min="3" max="3" width="18.7109375" style="57" bestFit="1" customWidth="1"/>
    <col min="4" max="4" width="18.85546875" style="57" bestFit="1" customWidth="1"/>
    <col min="5" max="5" width="11.5703125" style="57" bestFit="1" customWidth="1"/>
    <col min="6" max="6" width="15.28515625" style="57" bestFit="1" customWidth="1"/>
    <col min="7" max="7" width="28.5703125" style="57" bestFit="1" customWidth="1"/>
    <col min="8" max="8" width="18.5703125" style="57" customWidth="1"/>
    <col min="9" max="9" width="79.28515625" style="57" bestFit="1" customWidth="1"/>
    <col min="10" max="10" width="18.140625" style="57" bestFit="1" customWidth="1"/>
    <col min="11" max="11" width="19.28515625" style="57" bestFit="1" customWidth="1"/>
    <col min="12" max="12" width="14.42578125" style="57" bestFit="1" customWidth="1"/>
    <col min="13" max="13" width="15.7109375" style="57" bestFit="1" customWidth="1"/>
    <col min="14" max="14" width="12.85546875" style="57" bestFit="1" customWidth="1"/>
    <col min="15" max="15" width="27.28515625" style="57" customWidth="1"/>
    <col min="16" max="16" width="94.42578125" style="57" bestFit="1" customWidth="1"/>
    <col min="17" max="17" width="43.28515625" style="57" bestFit="1" customWidth="1"/>
    <col min="18" max="18" width="46.42578125" style="57" bestFit="1" customWidth="1"/>
    <col min="19" max="19" width="50.140625" style="57" bestFit="1" customWidth="1"/>
    <col min="20" max="20" width="52.28515625" style="57" bestFit="1" customWidth="1"/>
    <col min="21" max="16384" width="11.42578125" style="57"/>
  </cols>
  <sheetData>
    <row r="1" spans="1:18">
      <c r="A1" s="245" t="s">
        <v>57</v>
      </c>
      <c r="B1" s="245"/>
      <c r="C1" s="245"/>
      <c r="D1" s="245"/>
      <c r="E1" s="245"/>
      <c r="F1" s="245"/>
      <c r="G1" s="245"/>
      <c r="H1" s="245"/>
      <c r="I1" s="245"/>
      <c r="J1" s="245"/>
      <c r="K1" s="245"/>
      <c r="L1" s="245"/>
      <c r="M1" s="245"/>
      <c r="N1" s="245"/>
      <c r="O1" s="245"/>
      <c r="P1" s="245"/>
    </row>
    <row r="2" spans="1:18">
      <c r="A2" s="62" t="s">
        <v>58</v>
      </c>
      <c r="B2" s="196" t="str">
        <f>'Listado Objetos de Dominio'!A7</f>
        <v>Entrenador Facultad</v>
      </c>
      <c r="C2" s="196"/>
      <c r="D2" s="196"/>
      <c r="E2" s="196"/>
      <c r="F2" s="196"/>
      <c r="G2" s="196"/>
      <c r="H2" s="196"/>
      <c r="I2" s="196"/>
      <c r="J2" s="196"/>
      <c r="K2" s="196"/>
      <c r="L2" s="196"/>
      <c r="M2" s="196"/>
      <c r="N2" s="196"/>
      <c r="O2" s="196"/>
      <c r="P2" s="196"/>
    </row>
    <row r="3" spans="1:18">
      <c r="A3" s="62" t="s">
        <v>59</v>
      </c>
      <c r="B3" s="196" t="str">
        <f>'Listado Objetos de Dominio'!B7</f>
        <v>Objeto de dominio que contiene a los entrenadores por facultad</v>
      </c>
      <c r="C3" s="196"/>
      <c r="D3" s="196"/>
      <c r="E3" s="196"/>
      <c r="F3" s="196"/>
      <c r="G3" s="196"/>
      <c r="H3" s="196"/>
      <c r="I3" s="196"/>
      <c r="J3" s="196"/>
      <c r="K3" s="196"/>
      <c r="L3" s="196"/>
      <c r="M3" s="196"/>
      <c r="N3" s="196"/>
      <c r="O3" s="196"/>
      <c r="P3" s="196"/>
    </row>
    <row r="4" spans="1:18">
      <c r="A4" s="63" t="s">
        <v>60</v>
      </c>
      <c r="B4" s="10" t="s">
        <v>61</v>
      </c>
      <c r="C4" s="10" t="s">
        <v>62</v>
      </c>
      <c r="D4" s="10" t="s">
        <v>63</v>
      </c>
      <c r="E4" s="10" t="s">
        <v>64</v>
      </c>
      <c r="F4" s="10" t="s">
        <v>65</v>
      </c>
      <c r="G4" s="10" t="s">
        <v>66</v>
      </c>
      <c r="H4" s="10" t="s">
        <v>67</v>
      </c>
      <c r="I4" s="10" t="s">
        <v>68</v>
      </c>
      <c r="J4" s="10" t="s">
        <v>69</v>
      </c>
      <c r="K4" s="10" t="s">
        <v>70</v>
      </c>
      <c r="L4" s="10" t="s">
        <v>71</v>
      </c>
      <c r="M4" s="10" t="s">
        <v>72</v>
      </c>
      <c r="N4" s="10" t="s">
        <v>73</v>
      </c>
      <c r="O4" s="10" t="s">
        <v>74</v>
      </c>
      <c r="P4" s="10" t="s">
        <v>2</v>
      </c>
      <c r="Q4" s="115" t="str">
        <f>A18</f>
        <v>Asociar Facultad(es)</v>
      </c>
      <c r="R4" s="115" t="str">
        <f>A21</f>
        <v>Modificar Asociaciones</v>
      </c>
    </row>
    <row r="5" spans="1:18">
      <c r="A5" s="64" t="s">
        <v>75</v>
      </c>
      <c r="B5" s="7" t="s">
        <v>300</v>
      </c>
      <c r="C5" s="7">
        <v>2</v>
      </c>
      <c r="D5" s="7">
        <v>50</v>
      </c>
      <c r="E5" s="7"/>
      <c r="F5" s="7"/>
      <c r="G5" s="7"/>
      <c r="H5" s="7" t="s">
        <v>301</v>
      </c>
      <c r="I5" s="7"/>
      <c r="J5" s="13"/>
      <c r="K5" s="67" t="s">
        <v>15</v>
      </c>
      <c r="L5" s="7" t="s">
        <v>17</v>
      </c>
      <c r="M5" s="7" t="s">
        <v>15</v>
      </c>
      <c r="N5" s="7" t="s">
        <v>15</v>
      </c>
      <c r="O5" s="7" t="s">
        <v>15</v>
      </c>
      <c r="P5" s="7" t="s">
        <v>302</v>
      </c>
      <c r="Q5" s="116" t="s">
        <v>7</v>
      </c>
      <c r="R5" s="116" t="s">
        <v>9</v>
      </c>
    </row>
    <row r="6" spans="1:18" ht="40.5">
      <c r="A6" s="64" t="s">
        <v>329</v>
      </c>
      <c r="B6" s="147" t="s">
        <v>76</v>
      </c>
      <c r="C6" s="7"/>
      <c r="D6" s="7"/>
      <c r="E6" s="7"/>
      <c r="F6" s="7"/>
      <c r="G6" s="7"/>
      <c r="H6" s="7" t="s">
        <v>77</v>
      </c>
      <c r="I6" s="7"/>
      <c r="J6" s="13"/>
      <c r="K6" s="67" t="s">
        <v>17</v>
      </c>
      <c r="L6" s="7" t="s">
        <v>17</v>
      </c>
      <c r="M6" s="7" t="s">
        <v>15</v>
      </c>
      <c r="N6" s="7" t="s">
        <v>17</v>
      </c>
      <c r="O6" s="7" t="s">
        <v>17</v>
      </c>
      <c r="P6" s="7" t="s">
        <v>330</v>
      </c>
      <c r="Q6" s="116" t="s">
        <v>7</v>
      </c>
      <c r="R6" s="116" t="s">
        <v>9</v>
      </c>
    </row>
    <row r="7" spans="1:18" ht="39.75" customHeight="1">
      <c r="A7" s="64" t="s">
        <v>331</v>
      </c>
      <c r="B7" s="147" t="s">
        <v>76</v>
      </c>
      <c r="C7" s="7"/>
      <c r="D7" s="7"/>
      <c r="E7" s="7"/>
      <c r="F7" s="7"/>
      <c r="G7" s="7"/>
      <c r="H7" s="7" t="s">
        <v>77</v>
      </c>
      <c r="I7" s="7"/>
      <c r="J7" s="13"/>
      <c r="K7" s="7" t="s">
        <v>17</v>
      </c>
      <c r="L7" s="7" t="s">
        <v>17</v>
      </c>
      <c r="M7" s="7" t="s">
        <v>15</v>
      </c>
      <c r="N7" s="7" t="s">
        <v>17</v>
      </c>
      <c r="O7" s="7" t="s">
        <v>17</v>
      </c>
      <c r="P7" s="7" t="s">
        <v>332</v>
      </c>
      <c r="Q7" s="116" t="s">
        <v>7</v>
      </c>
      <c r="R7" s="116" t="s">
        <v>7</v>
      </c>
    </row>
    <row r="9" spans="1:18">
      <c r="A9" s="281" t="s">
        <v>99</v>
      </c>
      <c r="B9" s="282"/>
      <c r="C9" s="283"/>
    </row>
    <row r="10" spans="1:18">
      <c r="A10" s="65" t="s">
        <v>100</v>
      </c>
      <c r="B10" s="61" t="s">
        <v>2</v>
      </c>
      <c r="C10" s="69" t="s">
        <v>101</v>
      </c>
    </row>
    <row r="11" spans="1:18" ht="28.5" customHeight="1">
      <c r="A11" s="285" t="s">
        <v>102</v>
      </c>
      <c r="B11" s="287" t="s">
        <v>333</v>
      </c>
      <c r="C11" s="70" t="s">
        <v>329</v>
      </c>
    </row>
    <row r="12" spans="1:18" ht="30" customHeight="1">
      <c r="A12" s="286"/>
      <c r="B12" s="288"/>
      <c r="C12" s="70" t="s">
        <v>331</v>
      </c>
    </row>
    <row r="14" spans="1:18" ht="34.5" customHeight="1">
      <c r="A14" s="316" t="s">
        <v>334</v>
      </c>
      <c r="B14" s="317"/>
      <c r="C14" s="317"/>
      <c r="D14" s="317"/>
      <c r="E14" s="317"/>
      <c r="F14" s="317"/>
      <c r="G14" s="318"/>
    </row>
    <row r="16" spans="1:18" ht="51" customHeight="1">
      <c r="A16" s="251" t="s">
        <v>106</v>
      </c>
      <c r="B16" s="252"/>
      <c r="C16" s="252" t="s">
        <v>2</v>
      </c>
      <c r="D16" s="252"/>
      <c r="E16" s="252"/>
      <c r="F16" s="252"/>
      <c r="G16" s="252" t="s">
        <v>107</v>
      </c>
      <c r="H16" s="252"/>
      <c r="I16" s="252"/>
      <c r="J16" s="252" t="s">
        <v>108</v>
      </c>
      <c r="K16" s="252"/>
      <c r="L16" s="252"/>
      <c r="M16" s="252"/>
      <c r="N16" s="252"/>
      <c r="O16" s="252" t="s">
        <v>109</v>
      </c>
      <c r="P16" s="252"/>
      <c r="Q16" s="252" t="s">
        <v>185</v>
      </c>
      <c r="R16" s="257"/>
    </row>
    <row r="17" spans="1:18">
      <c r="A17" s="253"/>
      <c r="B17" s="254"/>
      <c r="C17" s="254"/>
      <c r="D17" s="254"/>
      <c r="E17" s="254"/>
      <c r="F17" s="254"/>
      <c r="G17" s="76" t="s">
        <v>110</v>
      </c>
      <c r="H17" s="76" t="s">
        <v>111</v>
      </c>
      <c r="I17" s="76" t="s">
        <v>2</v>
      </c>
      <c r="J17" s="76" t="s">
        <v>61</v>
      </c>
      <c r="K17" s="254" t="s">
        <v>2</v>
      </c>
      <c r="L17" s="254"/>
      <c r="M17" s="254"/>
      <c r="N17" s="254"/>
      <c r="O17" s="76" t="s">
        <v>112</v>
      </c>
      <c r="P17" s="76" t="s">
        <v>2</v>
      </c>
      <c r="Q17" s="76" t="s">
        <v>113</v>
      </c>
      <c r="R17" s="100" t="s">
        <v>114</v>
      </c>
    </row>
    <row r="18" spans="1:18" s="90" customFormat="1" ht="30.75" customHeight="1">
      <c r="A18" s="234" t="s">
        <v>335</v>
      </c>
      <c r="B18" s="229"/>
      <c r="C18" s="307" t="s">
        <v>336</v>
      </c>
      <c r="D18" s="308"/>
      <c r="E18" s="308"/>
      <c r="F18" s="309"/>
      <c r="G18" s="120" t="s">
        <v>215</v>
      </c>
      <c r="H18" s="120" t="s">
        <v>76</v>
      </c>
      <c r="I18" s="120" t="s">
        <v>337</v>
      </c>
      <c r="J18" s="240"/>
      <c r="K18" s="307"/>
      <c r="L18" s="308"/>
      <c r="M18" s="308"/>
      <c r="N18" s="309"/>
      <c r="O18" s="120" t="s">
        <v>338</v>
      </c>
      <c r="P18" s="120" t="s">
        <v>339</v>
      </c>
      <c r="Q18" s="120" t="s">
        <v>312</v>
      </c>
      <c r="R18" s="120" t="s">
        <v>313</v>
      </c>
    </row>
    <row r="19" spans="1:18" s="90" customFormat="1" ht="30.75">
      <c r="A19" s="235"/>
      <c r="B19" s="231"/>
      <c r="C19" s="310"/>
      <c r="D19" s="311"/>
      <c r="E19" s="311"/>
      <c r="F19" s="312"/>
      <c r="G19" s="240" t="s">
        <v>207</v>
      </c>
      <c r="H19" s="240" t="s">
        <v>145</v>
      </c>
      <c r="I19" s="240" t="s">
        <v>340</v>
      </c>
      <c r="J19" s="305"/>
      <c r="K19" s="310"/>
      <c r="L19" s="311"/>
      <c r="M19" s="311"/>
      <c r="N19" s="312"/>
      <c r="O19" s="120" t="s">
        <v>341</v>
      </c>
      <c r="P19" s="120" t="s">
        <v>342</v>
      </c>
      <c r="Q19" s="120" t="s">
        <v>343</v>
      </c>
      <c r="R19" s="120" t="s">
        <v>318</v>
      </c>
    </row>
    <row r="20" spans="1:18" ht="30.75" customHeight="1">
      <c r="A20" s="236"/>
      <c r="B20" s="233"/>
      <c r="C20" s="313"/>
      <c r="D20" s="314"/>
      <c r="E20" s="314"/>
      <c r="F20" s="315"/>
      <c r="G20" s="306"/>
      <c r="H20" s="306"/>
      <c r="I20" s="306"/>
      <c r="J20" s="306"/>
      <c r="K20" s="313"/>
      <c r="L20" s="314"/>
      <c r="M20" s="314"/>
      <c r="N20" s="315"/>
      <c r="O20" s="120" t="s">
        <v>344</v>
      </c>
      <c r="P20" s="120" t="s">
        <v>345</v>
      </c>
      <c r="Q20" s="120" t="s">
        <v>346</v>
      </c>
      <c r="R20" s="120" t="s">
        <v>321</v>
      </c>
    </row>
    <row r="21" spans="1:18" ht="30.75" customHeight="1">
      <c r="A21" s="234" t="s">
        <v>347</v>
      </c>
      <c r="B21" s="229"/>
      <c r="C21" s="307" t="s">
        <v>348</v>
      </c>
      <c r="D21" s="308"/>
      <c r="E21" s="308"/>
      <c r="F21" s="309"/>
      <c r="G21" s="120" t="s">
        <v>215</v>
      </c>
      <c r="H21" s="120" t="s">
        <v>76</v>
      </c>
      <c r="I21" s="120" t="s">
        <v>349</v>
      </c>
      <c r="J21" s="240"/>
      <c r="K21" s="307"/>
      <c r="L21" s="308"/>
      <c r="M21" s="308"/>
      <c r="N21" s="309"/>
      <c r="O21" s="240" t="s">
        <v>350</v>
      </c>
      <c r="P21" s="240" t="s">
        <v>351</v>
      </c>
      <c r="Q21" s="120" t="s">
        <v>343</v>
      </c>
      <c r="R21" s="120" t="s">
        <v>318</v>
      </c>
    </row>
    <row r="22" spans="1:18" ht="30.75">
      <c r="A22" s="236"/>
      <c r="B22" s="233"/>
      <c r="C22" s="313"/>
      <c r="D22" s="314"/>
      <c r="E22" s="314"/>
      <c r="F22" s="315"/>
      <c r="G22" s="151" t="s">
        <v>234</v>
      </c>
      <c r="H22" s="152" t="s">
        <v>145</v>
      </c>
      <c r="I22" s="151" t="s">
        <v>352</v>
      </c>
      <c r="J22" s="306"/>
      <c r="K22" s="313"/>
      <c r="L22" s="314"/>
      <c r="M22" s="314"/>
      <c r="N22" s="315"/>
      <c r="O22" s="306"/>
      <c r="P22" s="306"/>
      <c r="Q22" s="120" t="s">
        <v>346</v>
      </c>
      <c r="R22" s="120" t="s">
        <v>321</v>
      </c>
    </row>
  </sheetData>
  <mergeCells count="27">
    <mergeCell ref="O21:O22"/>
    <mergeCell ref="P21:P22"/>
    <mergeCell ref="A21:B22"/>
    <mergeCell ref="C21:F22"/>
    <mergeCell ref="G19:G20"/>
    <mergeCell ref="H19:H20"/>
    <mergeCell ref="I19:I20"/>
    <mergeCell ref="J21:J22"/>
    <mergeCell ref="K21:N22"/>
    <mergeCell ref="A1:P1"/>
    <mergeCell ref="B2:P2"/>
    <mergeCell ref="B3:P3"/>
    <mergeCell ref="A9:C9"/>
    <mergeCell ref="A16:B17"/>
    <mergeCell ref="C16:F17"/>
    <mergeCell ref="G16:I16"/>
    <mergeCell ref="J16:N16"/>
    <mergeCell ref="O16:P16"/>
    <mergeCell ref="A11:A12"/>
    <mergeCell ref="B11:B12"/>
    <mergeCell ref="A14:G14"/>
    <mergeCell ref="Q16:R16"/>
    <mergeCell ref="K17:N17"/>
    <mergeCell ref="J18:J20"/>
    <mergeCell ref="K18:N20"/>
    <mergeCell ref="A18:B20"/>
    <mergeCell ref="C18:F20"/>
  </mergeCells>
  <dataValidations count="1">
    <dataValidation type="list" allowBlank="1" showInputMessage="1" showErrorMessage="1" sqref="K5:O7" xr:uid="{FB4B4D66-BEF1-4C9E-87B1-8409F307DBAE}">
      <formula1>"Si,No"</formula1>
    </dataValidation>
  </dataValidations>
  <hyperlinks>
    <hyperlink ref="A1" location="'Objetos de Dominio'!A1" display="Volver al inicio" xr:uid="{63DDA0FB-8E1D-4455-BD6A-17786C0C1448}"/>
    <hyperlink ref="Q4" location="'Entrenador Facultad'!A18" display="=A18" xr:uid="{049040BF-AEDF-4679-A7B1-6ECD8BE1B473}"/>
    <hyperlink ref="A1:P1" location="'Listado Objetos de Dominio'!A1" display="&lt;-Volver al inicio" xr:uid="{5EDF9EDF-D4A7-4066-B3B7-8B790D735476}"/>
    <hyperlink ref="R4" location="'Entrenador Facultad'!A21" display="=A21" xr:uid="{F5419355-C2A0-48FA-906D-071B6C4A6858}"/>
    <hyperlink ref="C12" location="'Programa'!A7" display="Facultad" xr:uid="{A9790738-6A86-4F1C-9EBB-2F968E27996C}"/>
    <hyperlink ref="C11" location="'Entrenador Facultad'!A6" display="Entrenador" xr:uid="{7F7A5ED2-2446-4859-A9B9-F70E68FF70D8}"/>
    <hyperlink ref="A18:B20" location="'Entrenador Facultad'!Q4" display="Asociar Facultad(es)" xr:uid="{7CF301CF-C13D-4049-9E43-03DDAEC75667}"/>
    <hyperlink ref="A21:B22" location="'Entrenador Facultad'!R4" display="Modificar Asociaciones" xr:uid="{F3EF9BFB-15E6-4CFB-9B41-5EEE15C980CF}"/>
    <hyperlink ref="B6" location="'Entrenador'!A1" display="Entrenador" xr:uid="{6687AFE8-04BA-4B98-9FCC-BFEB82BB691B}"/>
    <hyperlink ref="B7" location="'Facultad'!A1" display="UUID" xr:uid="{D3930A0E-D28D-4DEE-B703-136A9071669F}"/>
  </hyperlink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AABFABF-6657-4052-BEC3-A9845290755D}">
          <x14:formula1>
            <xm:f>Valores!$A$3:$A$10</xm:f>
          </x14:formula1>
          <xm:sqref>Q5:R7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88C99F-DD3C-41AF-896A-AAF0075A8A7C}">
  <dimension ref="A1:R28"/>
  <sheetViews>
    <sheetView zoomScale="70" zoomScaleNormal="70" workbookViewId="0">
      <selection activeCell="J5" sqref="J5"/>
    </sheetView>
  </sheetViews>
  <sheetFormatPr defaultColWidth="11.42578125" defaultRowHeight="15"/>
  <cols>
    <col min="1" max="1" width="23.85546875" style="57" bestFit="1" customWidth="1"/>
    <col min="2" max="2" width="21" style="57" customWidth="1"/>
    <col min="3" max="3" width="23.7109375" style="57" customWidth="1"/>
    <col min="4" max="4" width="18.85546875" style="57" bestFit="1" customWidth="1"/>
    <col min="5" max="5" width="11.5703125" style="57" bestFit="1" customWidth="1"/>
    <col min="6" max="6" width="15.28515625" style="57" bestFit="1" customWidth="1"/>
    <col min="7" max="7" width="28.5703125" style="57" bestFit="1" customWidth="1"/>
    <col min="8" max="8" width="16.85546875" style="57" bestFit="1" customWidth="1"/>
    <col min="9" max="9" width="79.28515625" style="57" bestFit="1" customWidth="1"/>
    <col min="10" max="10" width="18.140625" style="57" bestFit="1" customWidth="1"/>
    <col min="11" max="11" width="19.28515625" style="57" bestFit="1" customWidth="1"/>
    <col min="12" max="12" width="14.42578125" style="57" bestFit="1" customWidth="1"/>
    <col min="13" max="13" width="15.7109375" style="57" bestFit="1" customWidth="1"/>
    <col min="14" max="14" width="12.85546875" style="57" bestFit="1" customWidth="1"/>
    <col min="15" max="15" width="29.85546875" style="57" customWidth="1"/>
    <col min="16" max="16" width="94.42578125" style="57" bestFit="1" customWidth="1"/>
    <col min="17" max="17" width="43.28515625" style="57" bestFit="1" customWidth="1"/>
    <col min="18" max="18" width="46.42578125" style="57" bestFit="1" customWidth="1"/>
    <col min="19" max="19" width="50.140625" style="57" bestFit="1" customWidth="1"/>
    <col min="20" max="20" width="52.28515625" style="57" bestFit="1" customWidth="1"/>
    <col min="21" max="16384" width="11.42578125" style="57"/>
  </cols>
  <sheetData>
    <row r="1" spans="1:18">
      <c r="A1" s="245" t="s">
        <v>57</v>
      </c>
      <c r="B1" s="245"/>
      <c r="C1" s="245"/>
      <c r="D1" s="245"/>
      <c r="E1" s="245"/>
      <c r="F1" s="245"/>
      <c r="G1" s="245"/>
      <c r="H1" s="245"/>
      <c r="I1" s="245"/>
      <c r="J1" s="245"/>
      <c r="K1" s="245"/>
      <c r="L1" s="245"/>
      <c r="M1" s="245"/>
      <c r="N1" s="245"/>
      <c r="O1" s="245"/>
      <c r="P1" s="245"/>
    </row>
    <row r="2" spans="1:18">
      <c r="A2" s="62" t="s">
        <v>58</v>
      </c>
      <c r="B2" s="196" t="str">
        <f>'Listado Objetos de Dominio'!A8</f>
        <v>Entrenador Entrenamiento</v>
      </c>
      <c r="C2" s="196"/>
      <c r="D2" s="196"/>
      <c r="E2" s="196"/>
      <c r="F2" s="196"/>
      <c r="G2" s="196"/>
      <c r="H2" s="196"/>
      <c r="I2" s="196"/>
      <c r="J2" s="196"/>
      <c r="K2" s="196"/>
      <c r="L2" s="196"/>
      <c r="M2" s="196"/>
      <c r="N2" s="196"/>
      <c r="O2" s="196"/>
      <c r="P2" s="196"/>
    </row>
    <row r="3" spans="1:18">
      <c r="A3" s="62" t="s">
        <v>59</v>
      </c>
      <c r="B3" s="196" t="str">
        <f>'Listado Objetos de Dominio'!B8</f>
        <v>Objeto de dominio que corresponde a la tabla intermedia de la relación de muchos a muchos entre entrenador y entrenamiento cognitivo</v>
      </c>
      <c r="C3" s="196"/>
      <c r="D3" s="196"/>
      <c r="E3" s="196"/>
      <c r="F3" s="196"/>
      <c r="G3" s="196"/>
      <c r="H3" s="196"/>
      <c r="I3" s="196"/>
      <c r="J3" s="196"/>
      <c r="K3" s="196"/>
      <c r="L3" s="196"/>
      <c r="M3" s="196"/>
      <c r="N3" s="196"/>
      <c r="O3" s="196"/>
      <c r="P3" s="196"/>
    </row>
    <row r="4" spans="1:18">
      <c r="A4" s="63" t="s">
        <v>60</v>
      </c>
      <c r="B4" s="10" t="s">
        <v>61</v>
      </c>
      <c r="C4" s="10" t="s">
        <v>62</v>
      </c>
      <c r="D4" s="10" t="s">
        <v>63</v>
      </c>
      <c r="E4" s="10" t="s">
        <v>64</v>
      </c>
      <c r="F4" s="10" t="s">
        <v>65</v>
      </c>
      <c r="G4" s="10" t="s">
        <v>66</v>
      </c>
      <c r="H4" s="10" t="s">
        <v>67</v>
      </c>
      <c r="I4" s="10" t="s">
        <v>68</v>
      </c>
      <c r="J4" s="10" t="s">
        <v>69</v>
      </c>
      <c r="K4" s="10" t="s">
        <v>70</v>
      </c>
      <c r="L4" s="10" t="s">
        <v>71</v>
      </c>
      <c r="M4" s="10" t="s">
        <v>72</v>
      </c>
      <c r="N4" s="10" t="s">
        <v>73</v>
      </c>
      <c r="O4" s="10" t="s">
        <v>74</v>
      </c>
      <c r="P4" s="10" t="s">
        <v>2</v>
      </c>
      <c r="Q4" s="115" t="str">
        <f>A18</f>
        <v>Asociar Entrenador</v>
      </c>
      <c r="R4" s="115" t="str">
        <f>A21</f>
        <v>Modificar Asociación</v>
      </c>
    </row>
    <row r="5" spans="1:18">
      <c r="A5" s="64" t="s">
        <v>75</v>
      </c>
      <c r="B5" s="7" t="s">
        <v>300</v>
      </c>
      <c r="C5" s="7"/>
      <c r="D5" s="7">
        <v>50</v>
      </c>
      <c r="E5" s="7"/>
      <c r="F5" s="7"/>
      <c r="G5" s="7"/>
      <c r="H5" s="7" t="s">
        <v>301</v>
      </c>
      <c r="I5" s="7"/>
      <c r="J5" s="13"/>
      <c r="K5" s="67" t="s">
        <v>15</v>
      </c>
      <c r="L5" s="7" t="s">
        <v>17</v>
      </c>
      <c r="M5" s="7" t="s">
        <v>15</v>
      </c>
      <c r="N5" s="7" t="s">
        <v>15</v>
      </c>
      <c r="O5" s="7" t="s">
        <v>15</v>
      </c>
      <c r="P5" s="7" t="s">
        <v>302</v>
      </c>
      <c r="Q5" s="116" t="s">
        <v>7</v>
      </c>
      <c r="R5" s="116" t="s">
        <v>9</v>
      </c>
    </row>
    <row r="6" spans="1:18" ht="40.5">
      <c r="A6" s="64" t="s">
        <v>329</v>
      </c>
      <c r="B6" s="147" t="s">
        <v>76</v>
      </c>
      <c r="C6" s="7"/>
      <c r="D6" s="7"/>
      <c r="E6" s="7"/>
      <c r="F6" s="7"/>
      <c r="G6" s="7"/>
      <c r="H6" s="7" t="s">
        <v>77</v>
      </c>
      <c r="I6" s="7"/>
      <c r="J6" s="13"/>
      <c r="K6" s="67" t="s">
        <v>17</v>
      </c>
      <c r="L6" s="7" t="s">
        <v>17</v>
      </c>
      <c r="M6" s="7" t="s">
        <v>15</v>
      </c>
      <c r="N6" s="7" t="s">
        <v>17</v>
      </c>
      <c r="O6" s="7" t="s">
        <v>17</v>
      </c>
      <c r="P6" s="7" t="s">
        <v>353</v>
      </c>
      <c r="Q6" s="116" t="s">
        <v>7</v>
      </c>
      <c r="R6" s="116" t="s">
        <v>9</v>
      </c>
    </row>
    <row r="7" spans="1:18" ht="40.5">
      <c r="A7" s="64" t="s">
        <v>354</v>
      </c>
      <c r="B7" s="147" t="s">
        <v>76</v>
      </c>
      <c r="C7" s="7"/>
      <c r="D7" s="7"/>
      <c r="E7" s="7"/>
      <c r="F7" s="7"/>
      <c r="G7" s="7"/>
      <c r="H7" s="7" t="s">
        <v>77</v>
      </c>
      <c r="I7" s="7"/>
      <c r="J7" s="13"/>
      <c r="K7" s="7" t="s">
        <v>17</v>
      </c>
      <c r="L7" s="7" t="s">
        <v>17</v>
      </c>
      <c r="M7" s="7" t="s">
        <v>15</v>
      </c>
      <c r="N7" s="7" t="s">
        <v>17</v>
      </c>
      <c r="O7" s="7" t="s">
        <v>17</v>
      </c>
      <c r="P7" s="7" t="s">
        <v>355</v>
      </c>
      <c r="Q7" s="116" t="s">
        <v>7</v>
      </c>
      <c r="R7" s="116" t="s">
        <v>7</v>
      </c>
    </row>
    <row r="9" spans="1:18">
      <c r="A9" s="281" t="s">
        <v>99</v>
      </c>
      <c r="B9" s="282"/>
      <c r="C9" s="283"/>
    </row>
    <row r="10" spans="1:18">
      <c r="A10" s="65" t="s">
        <v>100</v>
      </c>
      <c r="B10" s="61" t="s">
        <v>2</v>
      </c>
      <c r="C10" s="69" t="s">
        <v>101</v>
      </c>
    </row>
    <row r="11" spans="1:18" ht="46.5" customHeight="1">
      <c r="A11" s="285" t="s">
        <v>102</v>
      </c>
      <c r="B11" s="287" t="s">
        <v>356</v>
      </c>
      <c r="C11" s="70" t="s">
        <v>329</v>
      </c>
    </row>
    <row r="12" spans="1:18" ht="48" customHeight="1">
      <c r="A12" s="286"/>
      <c r="B12" s="288"/>
      <c r="C12" s="70" t="s">
        <v>354</v>
      </c>
    </row>
    <row r="14" spans="1:18" ht="75" customHeight="1">
      <c r="A14" s="316" t="s">
        <v>357</v>
      </c>
      <c r="B14" s="317"/>
      <c r="C14" s="317"/>
      <c r="D14" s="317"/>
      <c r="E14" s="317"/>
      <c r="F14" s="317"/>
      <c r="G14" s="318"/>
    </row>
    <row r="16" spans="1:18" ht="51" customHeight="1">
      <c r="A16" s="251" t="s">
        <v>106</v>
      </c>
      <c r="B16" s="252"/>
      <c r="C16" s="252" t="s">
        <v>2</v>
      </c>
      <c r="D16" s="252"/>
      <c r="E16" s="252"/>
      <c r="F16" s="252"/>
      <c r="G16" s="252" t="s">
        <v>107</v>
      </c>
      <c r="H16" s="252"/>
      <c r="I16" s="252"/>
      <c r="J16" s="252" t="s">
        <v>108</v>
      </c>
      <c r="K16" s="252"/>
      <c r="L16" s="252"/>
      <c r="M16" s="252"/>
      <c r="N16" s="252"/>
      <c r="O16" s="252" t="s">
        <v>109</v>
      </c>
      <c r="P16" s="252"/>
      <c r="Q16" s="252" t="s">
        <v>185</v>
      </c>
      <c r="R16" s="257"/>
    </row>
    <row r="17" spans="1:18">
      <c r="A17" s="253"/>
      <c r="B17" s="254"/>
      <c r="C17" s="254"/>
      <c r="D17" s="254"/>
      <c r="E17" s="254"/>
      <c r="F17" s="254"/>
      <c r="G17" s="76" t="s">
        <v>110</v>
      </c>
      <c r="H17" s="76" t="s">
        <v>111</v>
      </c>
      <c r="I17" s="76" t="s">
        <v>2</v>
      </c>
      <c r="J17" s="76" t="s">
        <v>61</v>
      </c>
      <c r="K17" s="254" t="s">
        <v>2</v>
      </c>
      <c r="L17" s="254"/>
      <c r="M17" s="254"/>
      <c r="N17" s="254"/>
      <c r="O17" s="76" t="s">
        <v>112</v>
      </c>
      <c r="P17" s="76" t="s">
        <v>2</v>
      </c>
      <c r="Q17" s="76" t="s">
        <v>113</v>
      </c>
      <c r="R17" s="100" t="s">
        <v>114</v>
      </c>
    </row>
    <row r="18" spans="1:18" ht="54.75" customHeight="1">
      <c r="A18" s="234" t="s">
        <v>358</v>
      </c>
      <c r="B18" s="229"/>
      <c r="C18" s="307" t="s">
        <v>359</v>
      </c>
      <c r="D18" s="308"/>
      <c r="E18" s="308"/>
      <c r="F18" s="309"/>
      <c r="G18" s="120" t="s">
        <v>215</v>
      </c>
      <c r="H18" s="120" t="s">
        <v>76</v>
      </c>
      <c r="I18" s="120" t="s">
        <v>264</v>
      </c>
      <c r="J18" s="240"/>
      <c r="K18" s="307"/>
      <c r="L18" s="308"/>
      <c r="M18" s="308"/>
      <c r="N18" s="309"/>
      <c r="O18" s="120" t="s">
        <v>360</v>
      </c>
      <c r="P18" s="120" t="s">
        <v>361</v>
      </c>
      <c r="Q18" s="120" t="s">
        <v>312</v>
      </c>
      <c r="R18" s="120" t="s">
        <v>313</v>
      </c>
    </row>
    <row r="19" spans="1:18" s="90" customFormat="1" ht="51.75" customHeight="1">
      <c r="A19" s="235"/>
      <c r="B19" s="231"/>
      <c r="C19" s="310"/>
      <c r="D19" s="311"/>
      <c r="E19" s="311"/>
      <c r="F19" s="312"/>
      <c r="G19" s="240" t="s">
        <v>268</v>
      </c>
      <c r="H19" s="240" t="s">
        <v>76</v>
      </c>
      <c r="I19" s="240" t="s">
        <v>362</v>
      </c>
      <c r="J19" s="305"/>
      <c r="K19" s="310"/>
      <c r="L19" s="311"/>
      <c r="M19" s="311"/>
      <c r="N19" s="312"/>
      <c r="O19" s="120" t="s">
        <v>363</v>
      </c>
      <c r="P19" s="120" t="s">
        <v>364</v>
      </c>
      <c r="Q19" s="120" t="s">
        <v>267</v>
      </c>
      <c r="R19" s="120" t="s">
        <v>365</v>
      </c>
    </row>
    <row r="20" spans="1:18" s="90" customFormat="1" ht="51.75" customHeight="1">
      <c r="A20" s="236"/>
      <c r="B20" s="233"/>
      <c r="C20" s="313"/>
      <c r="D20" s="314"/>
      <c r="E20" s="314"/>
      <c r="F20" s="315"/>
      <c r="G20" s="306"/>
      <c r="H20" s="306"/>
      <c r="I20" s="306"/>
      <c r="J20" s="306"/>
      <c r="K20" s="313"/>
      <c r="L20" s="314"/>
      <c r="M20" s="314"/>
      <c r="N20" s="315"/>
      <c r="O20" s="120" t="s">
        <v>366</v>
      </c>
      <c r="P20" s="120" t="s">
        <v>367</v>
      </c>
      <c r="Q20" s="120" t="s">
        <v>368</v>
      </c>
      <c r="R20" s="120" t="s">
        <v>369</v>
      </c>
    </row>
    <row r="21" spans="1:18" s="90" customFormat="1" ht="41.25" customHeight="1">
      <c r="A21" s="234" t="s">
        <v>370</v>
      </c>
      <c r="B21" s="229"/>
      <c r="C21" s="307" t="s">
        <v>371</v>
      </c>
      <c r="D21" s="308"/>
      <c r="E21" s="308"/>
      <c r="F21" s="309"/>
      <c r="G21" s="120" t="s">
        <v>268</v>
      </c>
      <c r="H21" s="120" t="s">
        <v>76</v>
      </c>
      <c r="I21" s="120" t="s">
        <v>372</v>
      </c>
      <c r="J21" s="240"/>
      <c r="K21" s="307"/>
      <c r="L21" s="308"/>
      <c r="M21" s="308"/>
      <c r="N21" s="309"/>
      <c r="O21" s="240" t="s">
        <v>366</v>
      </c>
      <c r="P21" s="240" t="s">
        <v>367</v>
      </c>
      <c r="Q21" s="240" t="s">
        <v>368</v>
      </c>
      <c r="R21" s="240" t="s">
        <v>369</v>
      </c>
    </row>
    <row r="22" spans="1:18" s="90" customFormat="1" ht="31.5" customHeight="1">
      <c r="A22" s="236"/>
      <c r="B22" s="233"/>
      <c r="C22" s="313"/>
      <c r="D22" s="314"/>
      <c r="E22" s="314"/>
      <c r="F22" s="315"/>
      <c r="G22" s="120" t="s">
        <v>373</v>
      </c>
      <c r="H22" s="120" t="s">
        <v>76</v>
      </c>
      <c r="I22" s="120" t="s">
        <v>374</v>
      </c>
      <c r="J22" s="306"/>
      <c r="K22" s="313"/>
      <c r="L22" s="314"/>
      <c r="M22" s="314"/>
      <c r="N22" s="315"/>
      <c r="O22" s="306"/>
      <c r="P22" s="306"/>
      <c r="Q22" s="306"/>
      <c r="R22" s="306"/>
    </row>
    <row r="28" spans="1:18" ht="30.75" customHeight="1"/>
  </sheetData>
  <mergeCells count="29">
    <mergeCell ref="A18:B20"/>
    <mergeCell ref="C18:F20"/>
    <mergeCell ref="G19:G20"/>
    <mergeCell ref="H19:H20"/>
    <mergeCell ref="Q21:Q22"/>
    <mergeCell ref="I19:I20"/>
    <mergeCell ref="J18:J20"/>
    <mergeCell ref="K18:N20"/>
    <mergeCell ref="R21:R22"/>
    <mergeCell ref="A21:B22"/>
    <mergeCell ref="C21:F22"/>
    <mergeCell ref="J21:J22"/>
    <mergeCell ref="K21:N22"/>
    <mergeCell ref="O21:O22"/>
    <mergeCell ref="P21:P22"/>
    <mergeCell ref="Q16:R16"/>
    <mergeCell ref="K17:N17"/>
    <mergeCell ref="A1:P1"/>
    <mergeCell ref="B2:P2"/>
    <mergeCell ref="B3:P3"/>
    <mergeCell ref="A9:C9"/>
    <mergeCell ref="A16:B17"/>
    <mergeCell ref="C16:F17"/>
    <mergeCell ref="G16:I16"/>
    <mergeCell ref="J16:N16"/>
    <mergeCell ref="O16:P16"/>
    <mergeCell ref="A11:A12"/>
    <mergeCell ref="B11:B12"/>
    <mergeCell ref="A14:G14"/>
  </mergeCells>
  <dataValidations count="1">
    <dataValidation type="list" allowBlank="1" showInputMessage="1" showErrorMessage="1" sqref="K5:O7" xr:uid="{FEDB58FD-66D4-40CF-A014-8357F07C3E84}">
      <formula1>"Si,No"</formula1>
    </dataValidation>
  </dataValidations>
  <hyperlinks>
    <hyperlink ref="A1" location="'Objetos de Dominio'!A1" display="Volver al inicio" xr:uid="{78E588D0-AF47-453E-9597-186DF875D73C}"/>
    <hyperlink ref="Q4" location="'Estudiante Programa'!A18" display="=A18" xr:uid="{B76F614E-3B2F-4BA5-AA95-06602FE07A86}"/>
    <hyperlink ref="A1:P1" location="'Listado Objetos de Dominio'!A1" display="&lt;-Volver al inicio" xr:uid="{800C078B-C0C0-4096-9195-285CAFA18D35}"/>
    <hyperlink ref="C12" location="'Programa'!A7" display="entrenamientoCognitivo" xr:uid="{39A99F11-19D4-48B9-8ACC-B55065B7CC88}"/>
    <hyperlink ref="R4" location="'Entrenador Entrenamiento'!A18" display="=A21" xr:uid="{629A297D-99E2-4D2B-A175-C2A43C7D0A03}"/>
    <hyperlink ref="B6" location="'Entrenador'!A1" display="UUID" xr:uid="{12039F7C-2310-44D7-805C-5E19D921A311}"/>
    <hyperlink ref="B7" location="'Entrenamiento Cognitivo'!A1" display="UUID" xr:uid="{4DC8C385-223E-423D-A868-7C2571D8AE48}"/>
    <hyperlink ref="C11" location="'Entrenador Entrenamiento'!A6" display="entrenador" xr:uid="{2FEFA194-0800-4773-9E2C-625D723A4D76}"/>
    <hyperlink ref="A18:B20" location="'Entrenador Entrenamiento'!Q4" display="Asociar Entrenador" xr:uid="{7376C497-DCBA-4AE9-ACE5-4E768D785383}"/>
    <hyperlink ref="A21:B22" location="'Entrenador Entrenamiento'!R4" display="Modificar Asociación" xr:uid="{A6236C37-E3F5-4683-B570-35CF3010ED28}"/>
  </hyperlink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FD93567-E616-4DA0-A870-7B1BFCCD3771}">
          <x14:formula1>
            <xm:f>Valores!$A$3:$A$10</xm:f>
          </x14:formula1>
          <xm:sqref>Q5:R7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317BFE-4C94-471C-9B91-906313CB22A6}">
  <dimension ref="A1:V44"/>
  <sheetViews>
    <sheetView tabSelected="1" workbookViewId="0">
      <pane xSplit="1" topLeftCell="J14" activePane="topRight" state="frozen"/>
      <selection pane="topRight" activeCell="K23" sqref="K23:N29"/>
    </sheetView>
  </sheetViews>
  <sheetFormatPr defaultColWidth="11.42578125" defaultRowHeight="15"/>
  <cols>
    <col min="1" max="1" width="29.28515625" style="57" bestFit="1" customWidth="1"/>
    <col min="2" max="2" width="20.5703125" style="57" customWidth="1"/>
    <col min="3" max="3" width="18.7109375" style="57" bestFit="1" customWidth="1"/>
    <col min="4" max="4" width="18.85546875" style="57" bestFit="1" customWidth="1"/>
    <col min="5" max="5" width="11.5703125" style="57" bestFit="1" customWidth="1"/>
    <col min="6" max="6" width="15.28515625" style="57" bestFit="1" customWidth="1"/>
    <col min="7" max="7" width="30.42578125" style="57" customWidth="1"/>
    <col min="8" max="8" width="33.28515625" style="57" customWidth="1"/>
    <col min="9" max="9" width="79.28515625" style="57" bestFit="1" customWidth="1"/>
    <col min="10" max="10" width="18.140625" style="57" bestFit="1" customWidth="1"/>
    <col min="11" max="11" width="19.28515625" style="57" bestFit="1" customWidth="1"/>
    <col min="12" max="12" width="14.42578125" style="57" bestFit="1" customWidth="1"/>
    <col min="13" max="13" width="15.7109375" style="57" bestFit="1" customWidth="1"/>
    <col min="14" max="14" width="12.85546875" style="57" bestFit="1" customWidth="1"/>
    <col min="15" max="15" width="29.85546875" style="57" customWidth="1"/>
    <col min="16" max="16" width="54" style="57" customWidth="1"/>
    <col min="17" max="17" width="37.7109375" style="57" customWidth="1"/>
    <col min="18" max="18" width="42.85546875" style="57" customWidth="1"/>
    <col min="19" max="19" width="32.42578125" style="57" bestFit="1" customWidth="1"/>
    <col min="20" max="20" width="28.85546875" style="57" bestFit="1" customWidth="1"/>
    <col min="21" max="21" width="29" style="57" bestFit="1" customWidth="1"/>
    <col min="22" max="22" width="31.7109375" style="57" customWidth="1"/>
    <col min="23" max="16384" width="11.42578125" style="57"/>
  </cols>
  <sheetData>
    <row r="1" spans="1:22">
      <c r="A1" s="245" t="s">
        <v>57</v>
      </c>
      <c r="B1" s="245"/>
      <c r="C1" s="245"/>
      <c r="D1" s="245"/>
      <c r="E1" s="245"/>
      <c r="F1" s="245"/>
      <c r="G1" s="245"/>
      <c r="H1" s="245"/>
      <c r="I1" s="245"/>
      <c r="J1" s="245"/>
      <c r="K1" s="245"/>
      <c r="L1" s="245"/>
      <c r="M1" s="245"/>
      <c r="N1" s="245"/>
      <c r="O1" s="245"/>
      <c r="P1" s="245"/>
    </row>
    <row r="2" spans="1:22">
      <c r="A2" s="62" t="s">
        <v>58</v>
      </c>
      <c r="B2" s="196" t="str">
        <f>'Listado Objetos de Dominio'!A9</f>
        <v>Entrenamiento Cognitivo</v>
      </c>
      <c r="C2" s="196"/>
      <c r="D2" s="196"/>
      <c r="E2" s="196"/>
      <c r="F2" s="196"/>
      <c r="G2" s="196"/>
      <c r="H2" s="196"/>
      <c r="I2" s="196"/>
      <c r="J2" s="196"/>
      <c r="K2" s="196"/>
      <c r="L2" s="196"/>
      <c r="M2" s="196"/>
      <c r="N2" s="196"/>
      <c r="O2" s="196"/>
      <c r="P2" s="196"/>
    </row>
    <row r="3" spans="1:22">
      <c r="A3" s="62" t="s">
        <v>59</v>
      </c>
      <c r="B3" s="196" t="str">
        <f>'Listado Objetos de Dominio'!B9</f>
        <v>Objeto de dominio encargado de contener el plan de entrenamiento que desarrolla el estudiante</v>
      </c>
      <c r="C3" s="196"/>
      <c r="D3" s="196"/>
      <c r="E3" s="196"/>
      <c r="F3" s="196"/>
      <c r="G3" s="196"/>
      <c r="H3" s="196"/>
      <c r="I3" s="196"/>
      <c r="J3" s="196"/>
      <c r="K3" s="196"/>
      <c r="L3" s="196"/>
      <c r="M3" s="196"/>
      <c r="N3" s="196"/>
      <c r="O3" s="196"/>
      <c r="P3" s="196"/>
    </row>
    <row r="4" spans="1:22">
      <c r="A4" s="63" t="s">
        <v>60</v>
      </c>
      <c r="B4" s="10" t="s">
        <v>61</v>
      </c>
      <c r="C4" s="10" t="s">
        <v>62</v>
      </c>
      <c r="D4" s="10" t="s">
        <v>63</v>
      </c>
      <c r="E4" s="10" t="s">
        <v>64</v>
      </c>
      <c r="F4" s="10" t="s">
        <v>65</v>
      </c>
      <c r="G4" s="10" t="s">
        <v>66</v>
      </c>
      <c r="H4" s="10" t="s">
        <v>67</v>
      </c>
      <c r="I4" s="10" t="s">
        <v>68</v>
      </c>
      <c r="J4" s="10" t="s">
        <v>69</v>
      </c>
      <c r="K4" s="10" t="s">
        <v>70</v>
      </c>
      <c r="L4" s="10" t="s">
        <v>71</v>
      </c>
      <c r="M4" s="10" t="s">
        <v>72</v>
      </c>
      <c r="N4" s="10" t="s">
        <v>73</v>
      </c>
      <c r="O4" s="10" t="s">
        <v>74</v>
      </c>
      <c r="P4" s="80" t="s">
        <v>2</v>
      </c>
      <c r="Q4" s="110" t="str">
        <f>A17</f>
        <v>Crear Entrenamiento</v>
      </c>
      <c r="R4" s="110" t="str">
        <f>A23</f>
        <v>Modificar Entrenamientonto</v>
      </c>
      <c r="S4" s="110" t="str">
        <f>A30</f>
        <v>Consultar Detalle</v>
      </c>
      <c r="T4" s="110" t="str">
        <f>A33</f>
        <v>Finalizar Sesión</v>
      </c>
      <c r="U4" s="110" t="str">
        <f>A37</f>
        <v>Finalizar Asignación</v>
      </c>
      <c r="V4" s="110" t="str">
        <f>A40</f>
        <v>Consultar Progreso</v>
      </c>
    </row>
    <row r="5" spans="1:22" ht="33.75" customHeight="1">
      <c r="A5" s="64" t="s">
        <v>75</v>
      </c>
      <c r="B5" s="7" t="s">
        <v>76</v>
      </c>
      <c r="C5" s="7">
        <v>36</v>
      </c>
      <c r="D5" s="7">
        <v>36</v>
      </c>
      <c r="E5" s="7"/>
      <c r="F5" s="7"/>
      <c r="G5" s="7"/>
      <c r="H5" s="7" t="s">
        <v>77</v>
      </c>
      <c r="I5" s="7"/>
      <c r="J5" s="13"/>
      <c r="K5" s="67" t="s">
        <v>15</v>
      </c>
      <c r="L5" s="7" t="s">
        <v>17</v>
      </c>
      <c r="M5" s="7" t="s">
        <v>15</v>
      </c>
      <c r="N5" s="7" t="s">
        <v>15</v>
      </c>
      <c r="O5" s="7" t="s">
        <v>15</v>
      </c>
      <c r="P5" s="81" t="s">
        <v>375</v>
      </c>
      <c r="Q5" s="114" t="s">
        <v>7</v>
      </c>
      <c r="R5" s="114" t="s">
        <v>9</v>
      </c>
      <c r="S5" s="114" t="s">
        <v>11</v>
      </c>
      <c r="T5" s="114" t="s">
        <v>9</v>
      </c>
      <c r="U5" s="114" t="s">
        <v>9</v>
      </c>
      <c r="V5" s="114" t="s">
        <v>9</v>
      </c>
    </row>
    <row r="6" spans="1:22" ht="27">
      <c r="A6" s="64" t="s">
        <v>376</v>
      </c>
      <c r="B6" s="147" t="s">
        <v>76</v>
      </c>
      <c r="C6" s="7"/>
      <c r="D6" s="7"/>
      <c r="E6" s="7"/>
      <c r="F6" s="7"/>
      <c r="G6" s="7"/>
      <c r="H6" s="7" t="s">
        <v>77</v>
      </c>
      <c r="I6" s="7"/>
      <c r="J6" s="13"/>
      <c r="K6" s="67" t="s">
        <v>17</v>
      </c>
      <c r="L6" s="7" t="s">
        <v>17</v>
      </c>
      <c r="M6" s="7" t="s">
        <v>15</v>
      </c>
      <c r="N6" s="7" t="s">
        <v>15</v>
      </c>
      <c r="O6" s="7" t="s">
        <v>15</v>
      </c>
      <c r="P6" s="81" t="s">
        <v>377</v>
      </c>
      <c r="Q6" s="114" t="s">
        <v>7</v>
      </c>
      <c r="R6" s="114" t="s">
        <v>9</v>
      </c>
      <c r="S6" s="114" t="s">
        <v>13</v>
      </c>
      <c r="T6" s="114" t="s">
        <v>9</v>
      </c>
      <c r="U6" s="114" t="s">
        <v>9</v>
      </c>
      <c r="V6" s="114" t="s">
        <v>9</v>
      </c>
    </row>
    <row r="7" spans="1:22">
      <c r="A7" s="64" t="s">
        <v>177</v>
      </c>
      <c r="B7" s="7" t="s">
        <v>93</v>
      </c>
      <c r="C7" s="7"/>
      <c r="D7" s="7"/>
      <c r="E7" s="7"/>
      <c r="F7" s="7"/>
      <c r="G7" s="7"/>
      <c r="H7" s="7" t="s">
        <v>94</v>
      </c>
      <c r="I7" s="7"/>
      <c r="J7" s="13"/>
      <c r="K7" s="67" t="s">
        <v>15</v>
      </c>
      <c r="L7" s="7" t="s">
        <v>17</v>
      </c>
      <c r="M7" s="7" t="s">
        <v>15</v>
      </c>
      <c r="N7" s="7" t="s">
        <v>17</v>
      </c>
      <c r="O7" s="7" t="s">
        <v>17</v>
      </c>
      <c r="P7" s="81" t="s">
        <v>378</v>
      </c>
      <c r="Q7" s="114" t="s">
        <v>7</v>
      </c>
      <c r="R7" s="114" t="s">
        <v>9</v>
      </c>
      <c r="S7" s="114" t="s">
        <v>13</v>
      </c>
      <c r="T7" s="114" t="s">
        <v>9</v>
      </c>
      <c r="U7" s="114" t="s">
        <v>9</v>
      </c>
      <c r="V7" s="114" t="s">
        <v>9</v>
      </c>
    </row>
    <row r="8" spans="1:22">
      <c r="A8" s="64" t="s">
        <v>211</v>
      </c>
      <c r="B8" s="7" t="s">
        <v>93</v>
      </c>
      <c r="C8" s="7"/>
      <c r="D8" s="7"/>
      <c r="E8" s="7"/>
      <c r="F8" s="7"/>
      <c r="G8" s="7"/>
      <c r="H8" s="7" t="s">
        <v>94</v>
      </c>
      <c r="I8" s="7"/>
      <c r="J8" s="13"/>
      <c r="K8" s="67" t="s">
        <v>17</v>
      </c>
      <c r="L8" s="7" t="s">
        <v>17</v>
      </c>
      <c r="M8" s="7" t="s">
        <v>17</v>
      </c>
      <c r="N8" s="7" t="s">
        <v>17</v>
      </c>
      <c r="O8" s="7" t="s">
        <v>17</v>
      </c>
      <c r="P8" s="81" t="s">
        <v>379</v>
      </c>
      <c r="Q8" s="114" t="s">
        <v>7</v>
      </c>
      <c r="R8" s="114" t="s">
        <v>7</v>
      </c>
      <c r="S8" s="114" t="s">
        <v>13</v>
      </c>
      <c r="T8" s="114" t="s">
        <v>9</v>
      </c>
      <c r="U8" s="114" t="s">
        <v>9</v>
      </c>
      <c r="V8" s="114" t="s">
        <v>9</v>
      </c>
    </row>
    <row r="9" spans="1:22" ht="27">
      <c r="A9" s="64" t="s">
        <v>380</v>
      </c>
      <c r="B9" s="147" t="s">
        <v>76</v>
      </c>
      <c r="C9" s="7"/>
      <c r="D9" s="7"/>
      <c r="E9" s="7"/>
      <c r="F9" s="7"/>
      <c r="G9" s="7"/>
      <c r="H9" s="7" t="s">
        <v>77</v>
      </c>
      <c r="I9" s="7"/>
      <c r="J9" s="13"/>
      <c r="K9" s="67" t="s">
        <v>15</v>
      </c>
      <c r="L9" s="7" t="s">
        <v>15</v>
      </c>
      <c r="M9" s="7" t="s">
        <v>15</v>
      </c>
      <c r="N9" s="7" t="s">
        <v>17</v>
      </c>
      <c r="O9" s="7" t="s">
        <v>17</v>
      </c>
      <c r="P9" s="81" t="s">
        <v>381</v>
      </c>
      <c r="Q9" s="114" t="s">
        <v>7</v>
      </c>
      <c r="R9" s="114" t="s">
        <v>7</v>
      </c>
      <c r="S9" s="114" t="s">
        <v>13</v>
      </c>
      <c r="T9" s="114" t="s">
        <v>9</v>
      </c>
      <c r="U9" s="114" t="s">
        <v>9</v>
      </c>
      <c r="V9" s="114" t="s">
        <v>9</v>
      </c>
    </row>
    <row r="11" spans="1:22">
      <c r="A11" s="281" t="s">
        <v>99</v>
      </c>
      <c r="B11" s="282"/>
      <c r="C11" s="283"/>
    </row>
    <row r="12" spans="1:22">
      <c r="A12" s="65" t="s">
        <v>100</v>
      </c>
      <c r="B12" s="61" t="s">
        <v>2</v>
      </c>
      <c r="C12" s="69" t="s">
        <v>101</v>
      </c>
    </row>
    <row r="13" spans="1:22" ht="58.5" customHeight="1">
      <c r="A13" s="66" t="s">
        <v>102</v>
      </c>
      <c r="B13" s="15" t="s">
        <v>382</v>
      </c>
      <c r="C13" s="70" t="str">
        <f>A6</f>
        <v>estudiante</v>
      </c>
    </row>
    <row r="15" spans="1:22">
      <c r="A15" s="324" t="s">
        <v>106</v>
      </c>
      <c r="B15" s="325"/>
      <c r="C15" s="325" t="s">
        <v>2</v>
      </c>
      <c r="D15" s="325"/>
      <c r="E15" s="325"/>
      <c r="F15" s="325"/>
      <c r="G15" s="325" t="s">
        <v>107</v>
      </c>
      <c r="H15" s="325"/>
      <c r="I15" s="325"/>
      <c r="J15" s="325" t="s">
        <v>108</v>
      </c>
      <c r="K15" s="325"/>
      <c r="L15" s="325"/>
      <c r="M15" s="325"/>
      <c r="N15" s="325"/>
      <c r="O15" s="325" t="s">
        <v>109</v>
      </c>
      <c r="P15" s="325"/>
      <c r="Q15" s="325" t="s">
        <v>185</v>
      </c>
      <c r="R15" s="328"/>
    </row>
    <row r="16" spans="1:22">
      <c r="A16" s="326"/>
      <c r="B16" s="327"/>
      <c r="C16" s="327"/>
      <c r="D16" s="327"/>
      <c r="E16" s="327"/>
      <c r="F16" s="327"/>
      <c r="G16" s="96" t="s">
        <v>110</v>
      </c>
      <c r="H16" s="96" t="s">
        <v>111</v>
      </c>
      <c r="I16" s="96" t="s">
        <v>2</v>
      </c>
      <c r="J16" s="96" t="s">
        <v>61</v>
      </c>
      <c r="K16" s="327" t="s">
        <v>2</v>
      </c>
      <c r="L16" s="327"/>
      <c r="M16" s="327"/>
      <c r="N16" s="327"/>
      <c r="O16" s="96" t="s">
        <v>112</v>
      </c>
      <c r="P16" s="96" t="s">
        <v>2</v>
      </c>
      <c r="Q16" s="96" t="s">
        <v>113</v>
      </c>
      <c r="R16" s="117" t="s">
        <v>114</v>
      </c>
    </row>
    <row r="17" spans="1:18" ht="91.5" customHeight="1">
      <c r="A17" s="238" t="s">
        <v>383</v>
      </c>
      <c r="B17" s="238"/>
      <c r="C17" s="237" t="s">
        <v>384</v>
      </c>
      <c r="D17" s="237"/>
      <c r="E17" s="237"/>
      <c r="F17" s="237"/>
      <c r="G17" s="120" t="s">
        <v>385</v>
      </c>
      <c r="H17" s="157" t="s">
        <v>80</v>
      </c>
      <c r="I17" s="120" t="s">
        <v>386</v>
      </c>
      <c r="J17" s="322" t="s">
        <v>119</v>
      </c>
      <c r="K17" s="237" t="s">
        <v>387</v>
      </c>
      <c r="L17" s="237"/>
      <c r="M17" s="237"/>
      <c r="N17" s="237"/>
      <c r="O17" s="158" t="s">
        <v>388</v>
      </c>
      <c r="P17" s="120" t="s">
        <v>389</v>
      </c>
      <c r="Q17" s="120" t="s">
        <v>368</v>
      </c>
      <c r="R17" s="120" t="s">
        <v>390</v>
      </c>
    </row>
    <row r="18" spans="1:18" ht="30.75">
      <c r="A18" s="238"/>
      <c r="B18" s="238"/>
      <c r="C18" s="237"/>
      <c r="D18" s="237"/>
      <c r="E18" s="237"/>
      <c r="F18" s="237"/>
      <c r="G18" s="120" t="s">
        <v>391</v>
      </c>
      <c r="H18" s="157" t="s">
        <v>80</v>
      </c>
      <c r="I18" s="120" t="s">
        <v>135</v>
      </c>
      <c r="J18" s="322"/>
      <c r="K18" s="237"/>
      <c r="L18" s="237"/>
      <c r="M18" s="237"/>
      <c r="N18" s="237"/>
      <c r="O18" s="158" t="s">
        <v>392</v>
      </c>
      <c r="P18" s="120" t="s">
        <v>393</v>
      </c>
      <c r="Q18" s="120" t="s">
        <v>394</v>
      </c>
      <c r="R18" s="120" t="s">
        <v>271</v>
      </c>
    </row>
    <row r="19" spans="1:18" ht="30.75">
      <c r="A19" s="238"/>
      <c r="B19" s="238"/>
      <c r="C19" s="237"/>
      <c r="D19" s="237"/>
      <c r="E19" s="237"/>
      <c r="F19" s="237"/>
      <c r="G19" s="120" t="s">
        <v>395</v>
      </c>
      <c r="H19" s="157" t="s">
        <v>80</v>
      </c>
      <c r="I19" s="120" t="s">
        <v>396</v>
      </c>
      <c r="J19" s="322"/>
      <c r="K19" s="237"/>
      <c r="L19" s="237"/>
      <c r="M19" s="237"/>
      <c r="N19" s="237"/>
      <c r="O19" s="158" t="s">
        <v>397</v>
      </c>
      <c r="P19" s="120" t="s">
        <v>398</v>
      </c>
      <c r="Q19" s="120" t="s">
        <v>399</v>
      </c>
      <c r="R19" s="120" t="s">
        <v>400</v>
      </c>
    </row>
    <row r="20" spans="1:18" ht="30.75" customHeight="1">
      <c r="A20" s="238"/>
      <c r="B20" s="238"/>
      <c r="C20" s="237"/>
      <c r="D20" s="237"/>
      <c r="E20" s="237"/>
      <c r="F20" s="237"/>
      <c r="G20" s="120" t="s">
        <v>401</v>
      </c>
      <c r="H20" s="157" t="s">
        <v>80</v>
      </c>
      <c r="I20" s="120" t="s">
        <v>402</v>
      </c>
      <c r="J20" s="322"/>
      <c r="K20" s="237"/>
      <c r="L20" s="237"/>
      <c r="M20" s="237"/>
      <c r="N20" s="237"/>
      <c r="O20" s="320" t="s">
        <v>403</v>
      </c>
      <c r="P20" s="237" t="s">
        <v>404</v>
      </c>
      <c r="Q20" s="120" t="s">
        <v>138</v>
      </c>
      <c r="R20" s="120" t="s">
        <v>405</v>
      </c>
    </row>
    <row r="21" spans="1:18" ht="23.25" customHeight="1">
      <c r="A21" s="238"/>
      <c r="B21" s="238"/>
      <c r="C21" s="237"/>
      <c r="D21" s="237"/>
      <c r="E21" s="237"/>
      <c r="F21" s="237"/>
      <c r="G21" s="120" t="s">
        <v>406</v>
      </c>
      <c r="H21" s="157" t="s">
        <v>93</v>
      </c>
      <c r="I21" s="120" t="s">
        <v>407</v>
      </c>
      <c r="J21" s="322"/>
      <c r="K21" s="237"/>
      <c r="L21" s="237"/>
      <c r="M21" s="237"/>
      <c r="N21" s="237"/>
      <c r="O21" s="320"/>
      <c r="P21" s="237"/>
      <c r="Q21" s="237" t="s">
        <v>236</v>
      </c>
      <c r="R21" s="237" t="s">
        <v>237</v>
      </c>
    </row>
    <row r="22" spans="1:18" ht="22.5" customHeight="1">
      <c r="A22" s="238"/>
      <c r="B22" s="238"/>
      <c r="C22" s="237"/>
      <c r="D22" s="237"/>
      <c r="E22" s="237"/>
      <c r="F22" s="237"/>
      <c r="G22" s="120" t="s">
        <v>408</v>
      </c>
      <c r="H22" s="157" t="s">
        <v>145</v>
      </c>
      <c r="I22" s="120" t="s">
        <v>409</v>
      </c>
      <c r="J22" s="322"/>
      <c r="K22" s="237"/>
      <c r="L22" s="237"/>
      <c r="M22" s="237"/>
      <c r="N22" s="237"/>
      <c r="O22" s="320"/>
      <c r="P22" s="237"/>
      <c r="Q22" s="237"/>
      <c r="R22" s="237"/>
    </row>
    <row r="23" spans="1:18" ht="45.75" customHeight="1">
      <c r="A23" s="238" t="s">
        <v>410</v>
      </c>
      <c r="B23" s="238"/>
      <c r="C23" s="237" t="s">
        <v>411</v>
      </c>
      <c r="D23" s="237"/>
      <c r="E23" s="237"/>
      <c r="F23" s="237"/>
      <c r="G23" s="120" t="s">
        <v>385</v>
      </c>
      <c r="H23" s="157" t="s">
        <v>80</v>
      </c>
      <c r="I23" s="120" t="s">
        <v>386</v>
      </c>
      <c r="J23" s="323" t="s">
        <v>119</v>
      </c>
      <c r="K23" s="307" t="s">
        <v>387</v>
      </c>
      <c r="L23" s="308"/>
      <c r="M23" s="308"/>
      <c r="N23" s="309"/>
      <c r="O23" s="158" t="s">
        <v>388</v>
      </c>
      <c r="P23" s="120" t="s">
        <v>389</v>
      </c>
      <c r="Q23" s="120" t="s">
        <v>368</v>
      </c>
      <c r="R23" s="120" t="s">
        <v>390</v>
      </c>
    </row>
    <row r="24" spans="1:18" ht="30" customHeight="1">
      <c r="A24" s="238"/>
      <c r="B24" s="238"/>
      <c r="C24" s="237"/>
      <c r="D24" s="237"/>
      <c r="E24" s="237"/>
      <c r="F24" s="237"/>
      <c r="G24" s="120" t="s">
        <v>391</v>
      </c>
      <c r="H24" s="157" t="s">
        <v>80</v>
      </c>
      <c r="I24" s="120" t="s">
        <v>135</v>
      </c>
      <c r="J24" s="361"/>
      <c r="K24" s="310"/>
      <c r="L24" s="363"/>
      <c r="M24" s="363"/>
      <c r="N24" s="312"/>
      <c r="O24" s="158" t="s">
        <v>412</v>
      </c>
      <c r="P24" s="120" t="s">
        <v>413</v>
      </c>
      <c r="Q24" s="120" t="s">
        <v>394</v>
      </c>
      <c r="R24" s="120" t="s">
        <v>271</v>
      </c>
    </row>
    <row r="25" spans="1:18" ht="45" customHeight="1">
      <c r="A25" s="238"/>
      <c r="B25" s="238"/>
      <c r="C25" s="237"/>
      <c r="D25" s="237"/>
      <c r="E25" s="237"/>
      <c r="F25" s="237"/>
      <c r="G25" s="120" t="s">
        <v>414</v>
      </c>
      <c r="H25" s="158" t="s">
        <v>145</v>
      </c>
      <c r="I25" s="120" t="s">
        <v>415</v>
      </c>
      <c r="J25" s="361"/>
      <c r="K25" s="310"/>
      <c r="L25" s="363"/>
      <c r="M25" s="363"/>
      <c r="N25" s="312"/>
      <c r="O25" s="158" t="s">
        <v>416</v>
      </c>
      <c r="P25" s="120" t="s">
        <v>417</v>
      </c>
      <c r="Q25" s="120" t="s">
        <v>399</v>
      </c>
      <c r="R25" s="120" t="s">
        <v>400</v>
      </c>
    </row>
    <row r="26" spans="1:18" ht="29.25" customHeight="1">
      <c r="A26" s="238"/>
      <c r="B26" s="238"/>
      <c r="C26" s="237"/>
      <c r="D26" s="237"/>
      <c r="E26" s="237"/>
      <c r="F26" s="237"/>
      <c r="G26" s="120" t="s">
        <v>418</v>
      </c>
      <c r="H26" s="158" t="s">
        <v>145</v>
      </c>
      <c r="I26" s="120" t="s">
        <v>419</v>
      </c>
      <c r="J26" s="361"/>
      <c r="K26" s="310"/>
      <c r="L26" s="363"/>
      <c r="M26" s="363"/>
      <c r="N26" s="312"/>
      <c r="O26" s="320" t="s">
        <v>420</v>
      </c>
      <c r="P26" s="237" t="s">
        <v>421</v>
      </c>
      <c r="Q26" s="120" t="s">
        <v>138</v>
      </c>
      <c r="R26" s="120" t="s">
        <v>405</v>
      </c>
    </row>
    <row r="27" spans="1:18" ht="30.75" customHeight="1">
      <c r="A27" s="238"/>
      <c r="B27" s="238"/>
      <c r="C27" s="237"/>
      <c r="D27" s="237"/>
      <c r="E27" s="237"/>
      <c r="F27" s="237"/>
      <c r="G27" s="120" t="s">
        <v>422</v>
      </c>
      <c r="H27" s="157" t="s">
        <v>80</v>
      </c>
      <c r="I27" s="120" t="s">
        <v>423</v>
      </c>
      <c r="J27" s="361"/>
      <c r="K27" s="310"/>
      <c r="L27" s="363"/>
      <c r="M27" s="363"/>
      <c r="N27" s="312"/>
      <c r="O27" s="320"/>
      <c r="P27" s="237"/>
      <c r="Q27" s="237" t="s">
        <v>236</v>
      </c>
      <c r="R27" s="237" t="s">
        <v>237</v>
      </c>
    </row>
    <row r="28" spans="1:18">
      <c r="A28" s="238"/>
      <c r="B28" s="238"/>
      <c r="C28" s="237"/>
      <c r="D28" s="237"/>
      <c r="E28" s="237"/>
      <c r="F28" s="237"/>
      <c r="G28" s="120" t="s">
        <v>424</v>
      </c>
      <c r="H28" s="157" t="s">
        <v>80</v>
      </c>
      <c r="I28" s="120" t="s">
        <v>425</v>
      </c>
      <c r="J28" s="361"/>
      <c r="K28" s="310"/>
      <c r="L28" s="363"/>
      <c r="M28" s="363"/>
      <c r="N28" s="312"/>
      <c r="O28" s="320"/>
      <c r="P28" s="237"/>
      <c r="Q28" s="237"/>
      <c r="R28" s="237"/>
    </row>
    <row r="29" spans="1:18" ht="16.5" customHeight="1">
      <c r="A29" s="238"/>
      <c r="B29" s="238"/>
      <c r="C29" s="237"/>
      <c r="D29" s="237"/>
      <c r="E29" s="237"/>
      <c r="F29" s="237"/>
      <c r="G29" s="120" t="s">
        <v>426</v>
      </c>
      <c r="H29" s="157" t="s">
        <v>93</v>
      </c>
      <c r="I29" s="120" t="s">
        <v>427</v>
      </c>
      <c r="J29" s="362"/>
      <c r="K29" s="313"/>
      <c r="L29" s="314"/>
      <c r="M29" s="314"/>
      <c r="N29" s="315"/>
      <c r="O29" s="320"/>
      <c r="P29" s="237"/>
      <c r="Q29" s="237"/>
      <c r="R29" s="237"/>
    </row>
    <row r="30" spans="1:18" ht="63" customHeight="1">
      <c r="A30" s="238" t="s">
        <v>428</v>
      </c>
      <c r="B30" s="238"/>
      <c r="C30" s="237" t="s">
        <v>429</v>
      </c>
      <c r="D30" s="237"/>
      <c r="E30" s="237"/>
      <c r="F30" s="237"/>
      <c r="G30" s="120" t="s">
        <v>85</v>
      </c>
      <c r="H30" s="120" t="s">
        <v>80</v>
      </c>
      <c r="I30" s="158" t="s">
        <v>430</v>
      </c>
      <c r="J30" s="322" t="s">
        <v>119</v>
      </c>
      <c r="K30" s="237" t="s">
        <v>387</v>
      </c>
      <c r="L30" s="237"/>
      <c r="M30" s="237"/>
      <c r="N30" s="237"/>
      <c r="O30" s="320" t="s">
        <v>431</v>
      </c>
      <c r="P30" s="237" t="s">
        <v>432</v>
      </c>
      <c r="Q30" s="158" t="s">
        <v>433</v>
      </c>
      <c r="R30" s="120" t="s">
        <v>434</v>
      </c>
    </row>
    <row r="31" spans="1:18" ht="29.25" customHeight="1">
      <c r="A31" s="238"/>
      <c r="B31" s="238"/>
      <c r="C31" s="237"/>
      <c r="D31" s="237"/>
      <c r="E31" s="237"/>
      <c r="F31" s="237"/>
      <c r="G31" s="237" t="s">
        <v>87</v>
      </c>
      <c r="H31" s="237" t="s">
        <v>80</v>
      </c>
      <c r="I31" s="320" t="s">
        <v>135</v>
      </c>
      <c r="J31" s="322"/>
      <c r="K31" s="237"/>
      <c r="L31" s="237"/>
      <c r="M31" s="237"/>
      <c r="N31" s="237"/>
      <c r="O31" s="320"/>
      <c r="P31" s="237"/>
      <c r="Q31" s="120" t="s">
        <v>138</v>
      </c>
      <c r="R31" s="120" t="s">
        <v>405</v>
      </c>
    </row>
    <row r="32" spans="1:18" ht="28.5" customHeight="1">
      <c r="A32" s="243"/>
      <c r="B32" s="243"/>
      <c r="C32" s="240"/>
      <c r="D32" s="240"/>
      <c r="E32" s="240"/>
      <c r="F32" s="240"/>
      <c r="G32" s="240"/>
      <c r="H32" s="240"/>
      <c r="I32" s="321"/>
      <c r="J32" s="323"/>
      <c r="K32" s="240"/>
      <c r="L32" s="240"/>
      <c r="M32" s="240"/>
      <c r="N32" s="240"/>
      <c r="O32" s="321"/>
      <c r="P32" s="240"/>
      <c r="Q32" s="150" t="s">
        <v>236</v>
      </c>
      <c r="R32" s="150" t="s">
        <v>237</v>
      </c>
    </row>
    <row r="33" spans="1:18" ht="28.5" customHeight="1">
      <c r="A33" s="238" t="s">
        <v>435</v>
      </c>
      <c r="B33" s="238"/>
      <c r="C33" s="237" t="s">
        <v>436</v>
      </c>
      <c r="D33" s="237"/>
      <c r="E33" s="237"/>
      <c r="F33" s="237"/>
      <c r="G33" s="120" t="s">
        <v>437</v>
      </c>
      <c r="H33" s="120" t="s">
        <v>76</v>
      </c>
      <c r="I33" s="120" t="s">
        <v>438</v>
      </c>
      <c r="J33" s="237" t="s">
        <v>119</v>
      </c>
      <c r="K33" s="237" t="s">
        <v>439</v>
      </c>
      <c r="L33" s="237"/>
      <c r="M33" s="237"/>
      <c r="N33" s="237"/>
      <c r="O33" s="120" t="s">
        <v>388</v>
      </c>
      <c r="P33" s="120" t="s">
        <v>389</v>
      </c>
      <c r="Q33" s="120" t="s">
        <v>368</v>
      </c>
      <c r="R33" s="120" t="s">
        <v>390</v>
      </c>
    </row>
    <row r="34" spans="1:18" ht="30" customHeight="1">
      <c r="A34" s="238"/>
      <c r="B34" s="238"/>
      <c r="C34" s="237"/>
      <c r="D34" s="237"/>
      <c r="E34" s="237"/>
      <c r="F34" s="237"/>
      <c r="G34" s="120" t="s">
        <v>440</v>
      </c>
      <c r="H34" s="120" t="s">
        <v>119</v>
      </c>
      <c r="I34" s="120" t="s">
        <v>441</v>
      </c>
      <c r="J34" s="237"/>
      <c r="K34" s="237"/>
      <c r="L34" s="237"/>
      <c r="M34" s="237"/>
      <c r="N34" s="237"/>
      <c r="O34" s="120" t="s">
        <v>442</v>
      </c>
      <c r="P34" s="120" t="s">
        <v>443</v>
      </c>
      <c r="Q34" s="120" t="s">
        <v>444</v>
      </c>
      <c r="R34" s="120" t="s">
        <v>445</v>
      </c>
    </row>
    <row r="35" spans="1:18" ht="44.25" customHeight="1">
      <c r="A35" s="238"/>
      <c r="B35" s="238"/>
      <c r="C35" s="237"/>
      <c r="D35" s="237"/>
      <c r="E35" s="237"/>
      <c r="F35" s="237"/>
      <c r="G35" s="237" t="s">
        <v>446</v>
      </c>
      <c r="H35" s="237" t="s">
        <v>119</v>
      </c>
      <c r="I35" s="237" t="s">
        <v>447</v>
      </c>
      <c r="J35" s="237"/>
      <c r="K35" s="237"/>
      <c r="L35" s="237"/>
      <c r="M35" s="237"/>
      <c r="N35" s="237"/>
      <c r="O35" s="237" t="s">
        <v>448</v>
      </c>
      <c r="P35" s="237" t="s">
        <v>449</v>
      </c>
      <c r="Q35" s="120" t="s">
        <v>138</v>
      </c>
      <c r="R35" s="120" t="s">
        <v>450</v>
      </c>
    </row>
    <row r="36" spans="1:18" ht="46.5" customHeight="1">
      <c r="A36" s="238"/>
      <c r="B36" s="238"/>
      <c r="C36" s="237"/>
      <c r="D36" s="237"/>
      <c r="E36" s="237"/>
      <c r="F36" s="237"/>
      <c r="G36" s="237"/>
      <c r="H36" s="237"/>
      <c r="I36" s="237"/>
      <c r="J36" s="237"/>
      <c r="K36" s="237"/>
      <c r="L36" s="237"/>
      <c r="M36" s="237"/>
      <c r="N36" s="237"/>
      <c r="O36" s="237"/>
      <c r="P36" s="237"/>
      <c r="Q36" s="120" t="s">
        <v>236</v>
      </c>
      <c r="R36" s="120" t="s">
        <v>237</v>
      </c>
    </row>
    <row r="37" spans="1:18" ht="34.5" customHeight="1">
      <c r="A37" s="238" t="s">
        <v>451</v>
      </c>
      <c r="B37" s="238"/>
      <c r="C37" s="237" t="s">
        <v>452</v>
      </c>
      <c r="D37" s="237"/>
      <c r="E37" s="237"/>
      <c r="F37" s="237"/>
      <c r="G37" s="237" t="s">
        <v>453</v>
      </c>
      <c r="H37" s="237" t="s">
        <v>76</v>
      </c>
      <c r="I37" s="237" t="s">
        <v>454</v>
      </c>
      <c r="J37" s="237" t="s">
        <v>119</v>
      </c>
      <c r="K37" s="237" t="s">
        <v>439</v>
      </c>
      <c r="L37" s="237"/>
      <c r="M37" s="237"/>
      <c r="N37" s="237"/>
      <c r="O37" s="120" t="s">
        <v>388</v>
      </c>
      <c r="P37" s="120" t="s">
        <v>389</v>
      </c>
      <c r="Q37" s="120" t="s">
        <v>368</v>
      </c>
      <c r="R37" s="120" t="s">
        <v>390</v>
      </c>
    </row>
    <row r="38" spans="1:18" ht="30.75">
      <c r="A38" s="238"/>
      <c r="B38" s="238"/>
      <c r="C38" s="237"/>
      <c r="D38" s="237"/>
      <c r="E38" s="237"/>
      <c r="F38" s="237"/>
      <c r="G38" s="237"/>
      <c r="H38" s="237"/>
      <c r="I38" s="237"/>
      <c r="J38" s="237"/>
      <c r="K38" s="237"/>
      <c r="L38" s="237"/>
      <c r="M38" s="237"/>
      <c r="N38" s="237"/>
      <c r="O38" s="120" t="s">
        <v>442</v>
      </c>
      <c r="P38" s="120" t="s">
        <v>455</v>
      </c>
      <c r="Q38" s="120" t="s">
        <v>456</v>
      </c>
      <c r="R38" s="120" t="s">
        <v>445</v>
      </c>
    </row>
    <row r="39" spans="1:18" ht="30.75">
      <c r="A39" s="243"/>
      <c r="B39" s="243"/>
      <c r="C39" s="240"/>
      <c r="D39" s="240"/>
      <c r="E39" s="240"/>
      <c r="F39" s="240"/>
      <c r="G39" s="240"/>
      <c r="H39" s="240"/>
      <c r="I39" s="240"/>
      <c r="J39" s="240"/>
      <c r="K39" s="240"/>
      <c r="L39" s="240"/>
      <c r="M39" s="240"/>
      <c r="N39" s="240"/>
      <c r="O39" s="150" t="s">
        <v>457</v>
      </c>
      <c r="P39" s="150" t="s">
        <v>458</v>
      </c>
      <c r="Q39" s="150" t="s">
        <v>236</v>
      </c>
      <c r="R39" s="150" t="s">
        <v>237</v>
      </c>
    </row>
    <row r="40" spans="1:18" ht="121.5" customHeight="1">
      <c r="A40" s="238" t="s">
        <v>459</v>
      </c>
      <c r="B40" s="238"/>
      <c r="C40" s="237" t="s">
        <v>460</v>
      </c>
      <c r="D40" s="237"/>
      <c r="E40" s="237"/>
      <c r="F40" s="237"/>
      <c r="G40" s="237" t="s">
        <v>461</v>
      </c>
      <c r="H40" s="237" t="s">
        <v>76</v>
      </c>
      <c r="I40" s="237" t="s">
        <v>462</v>
      </c>
      <c r="J40" s="237" t="s">
        <v>119</v>
      </c>
      <c r="K40" s="237" t="s">
        <v>463</v>
      </c>
      <c r="L40" s="237"/>
      <c r="M40" s="237"/>
      <c r="N40" s="237"/>
      <c r="O40" s="120" t="s">
        <v>388</v>
      </c>
      <c r="P40" s="120" t="s">
        <v>389</v>
      </c>
      <c r="Q40" s="120" t="s">
        <v>368</v>
      </c>
      <c r="R40" s="120" t="s">
        <v>390</v>
      </c>
    </row>
    <row r="41" spans="1:18">
      <c r="A41" s="238"/>
      <c r="B41" s="238"/>
      <c r="C41" s="237"/>
      <c r="D41" s="237"/>
      <c r="E41" s="237"/>
      <c r="F41" s="237"/>
      <c r="G41" s="237"/>
      <c r="H41" s="237"/>
      <c r="I41" s="237"/>
      <c r="J41" s="237"/>
      <c r="K41" s="237"/>
      <c r="L41" s="237"/>
      <c r="M41" s="237"/>
      <c r="N41" s="237"/>
      <c r="O41" s="237" t="s">
        <v>464</v>
      </c>
      <c r="P41" s="237" t="s">
        <v>465</v>
      </c>
      <c r="Q41" s="120" t="s">
        <v>466</v>
      </c>
      <c r="R41" s="120" t="s">
        <v>228</v>
      </c>
    </row>
    <row r="42" spans="1:18">
      <c r="A42" s="238"/>
      <c r="B42" s="238"/>
      <c r="C42" s="237"/>
      <c r="D42" s="237"/>
      <c r="E42" s="237"/>
      <c r="F42" s="237"/>
      <c r="G42" s="237"/>
      <c r="H42" s="237"/>
      <c r="I42" s="237"/>
      <c r="J42" s="237"/>
      <c r="K42" s="237"/>
      <c r="L42" s="237"/>
      <c r="M42" s="237"/>
      <c r="N42" s="237"/>
      <c r="O42" s="237"/>
      <c r="P42" s="237"/>
      <c r="Q42" s="120" t="s">
        <v>236</v>
      </c>
      <c r="R42" s="120" t="s">
        <v>237</v>
      </c>
    </row>
    <row r="43" spans="1:18">
      <c r="A43" s="319"/>
      <c r="B43" s="319"/>
    </row>
    <row r="44" spans="1:18">
      <c r="A44" s="319"/>
      <c r="B44" s="319"/>
    </row>
  </sheetData>
  <mergeCells count="63">
    <mergeCell ref="Q15:R15"/>
    <mergeCell ref="K16:N16"/>
    <mergeCell ref="O20:O22"/>
    <mergeCell ref="P20:P22"/>
    <mergeCell ref="Q21:Q22"/>
    <mergeCell ref="R21:R22"/>
    <mergeCell ref="A1:P1"/>
    <mergeCell ref="B2:P2"/>
    <mergeCell ref="B3:P3"/>
    <mergeCell ref="A11:C11"/>
    <mergeCell ref="A15:B16"/>
    <mergeCell ref="C15:F16"/>
    <mergeCell ref="G15:I15"/>
    <mergeCell ref="J15:N15"/>
    <mergeCell ref="O15:P15"/>
    <mergeCell ref="Q27:Q29"/>
    <mergeCell ref="R27:R29"/>
    <mergeCell ref="J17:J22"/>
    <mergeCell ref="K17:N22"/>
    <mergeCell ref="A17:B22"/>
    <mergeCell ref="C17:F22"/>
    <mergeCell ref="A23:B29"/>
    <mergeCell ref="C23:F29"/>
    <mergeCell ref="J23:J29"/>
    <mergeCell ref="K23:N29"/>
    <mergeCell ref="P30:P32"/>
    <mergeCell ref="A33:B36"/>
    <mergeCell ref="C33:F36"/>
    <mergeCell ref="O26:O29"/>
    <mergeCell ref="P26:P29"/>
    <mergeCell ref="G35:G36"/>
    <mergeCell ref="H31:H32"/>
    <mergeCell ref="I31:I32"/>
    <mergeCell ref="J30:J32"/>
    <mergeCell ref="K30:N32"/>
    <mergeCell ref="O30:O32"/>
    <mergeCell ref="H35:H36"/>
    <mergeCell ref="I35:I36"/>
    <mergeCell ref="J33:J36"/>
    <mergeCell ref="K33:N36"/>
    <mergeCell ref="O35:O36"/>
    <mergeCell ref="A43:B43"/>
    <mergeCell ref="A44:B44"/>
    <mergeCell ref="A30:B32"/>
    <mergeCell ref="C30:F32"/>
    <mergeCell ref="G31:G32"/>
    <mergeCell ref="A37:B39"/>
    <mergeCell ref="C37:F39"/>
    <mergeCell ref="G37:G39"/>
    <mergeCell ref="C40:F42"/>
    <mergeCell ref="A40:B42"/>
    <mergeCell ref="P35:P36"/>
    <mergeCell ref="J37:J39"/>
    <mergeCell ref="K37:N39"/>
    <mergeCell ref="H40:H42"/>
    <mergeCell ref="G40:G42"/>
    <mergeCell ref="O41:O42"/>
    <mergeCell ref="H37:H39"/>
    <mergeCell ref="I37:I39"/>
    <mergeCell ref="P41:P42"/>
    <mergeCell ref="J40:J42"/>
    <mergeCell ref="K40:N42"/>
    <mergeCell ref="I40:I42"/>
  </mergeCells>
  <dataValidations count="1">
    <dataValidation type="list" allowBlank="1" showInputMessage="1" showErrorMessage="1" sqref="K5:O9" xr:uid="{C84291D2-3A47-4AC3-9984-5DE7F2C20DFA}">
      <formula1>"Si, No"</formula1>
    </dataValidation>
  </dataValidations>
  <hyperlinks>
    <hyperlink ref="A1" location="'Objetos de Dominio'!A1" display="Volver al inicio" xr:uid="{87FDBA3F-F393-4F8A-BF91-D4C38E58E728}"/>
    <hyperlink ref="R4" location="'Entrenamiento Cognitivo'!A23" display="=A23" xr:uid="{2B864E99-E366-46EA-8BAD-DE78CCC8F404}"/>
    <hyperlink ref="S4" location="'Entrenamiento Cognitivo'!A30" display="=A30" xr:uid="{D14A75B7-35D2-4800-A721-F0B19CDA96A7}"/>
    <hyperlink ref="Q4" location="'Entrenamiento Cognitivo'!A18" display="=A17" xr:uid="{BCB1FB1A-EC2E-4C16-9E4D-2B1ADA463ECF}"/>
    <hyperlink ref="A1:P1" location="'Listado Objetos de Dominio'!A1" display="&lt;-Volver al inicio" xr:uid="{E006F0BD-6789-4BD2-A734-A53604516A13}"/>
    <hyperlink ref="C13" location="'Entrenamiento Cognitivo'!A6" display="=A6" xr:uid="{44ED420D-1F48-4734-9EB4-F7251842C2C8}"/>
    <hyperlink ref="B6" location="'Estudiante'!A1" display="UUID" xr:uid="{D9C35219-F35B-4FA3-BF81-09F823D91E46}"/>
    <hyperlink ref="B9" location="'Estado'!A1" display="UUID" xr:uid="{ABE43C41-F003-4E6B-A4A4-DC539B802241}"/>
    <hyperlink ref="A17:B22" location="'Entrenamiento Cognitivo'!Q4" display="Crear Entrenamiento" xr:uid="{CBC11FE8-73C0-40C9-BBFD-F36A251528D1}"/>
    <hyperlink ref="A23:B29" location="'Entrenamiento Cognitivo'!R4" display="Modificar Entrenamientonto" xr:uid="{CE8A2103-F1F3-4A8E-8F56-043A258B5C43}"/>
    <hyperlink ref="A30:B32" location="'Entrenamiento Cognitivo'!S4" display="Consultar Detalle" xr:uid="{FCBC8D86-D08C-4982-A28A-3816B4DCEDEA}"/>
    <hyperlink ref="A33:B36" location="'Entrenamiento Cognitivo'!T4" display="Finalizar Sesión" xr:uid="{795ABE55-E796-4E0B-9D31-29A8B17D4541}"/>
    <hyperlink ref="A37:B39" location="'Entrenamiento Cognitivo'!U4" display="Finalizar Asignación" xr:uid="{DA0519E0-9CB0-4F50-B20B-CE3F27B33530}"/>
    <hyperlink ref="T4" location="'Entrenamiento Cognitivo'!A33" display="=A33" xr:uid="{6D595192-6F9E-441B-B5F3-6FDE86699586}"/>
    <hyperlink ref="U4" location="'Entrenamiento Cognitivo'!A37" display="=A37" xr:uid="{CC81AF94-74FB-405A-9C42-5BC13FEBFD3D}"/>
    <hyperlink ref="A40:B42" location="'Entrenamiento Cognitivo'!V4" display="Consultar Progreso" xr:uid="{D615AA23-1E0F-4480-A82F-5C232923A87B}"/>
    <hyperlink ref="V4" location="'Entrenamiento Cognitivo'!A40" display="=A40" xr:uid="{A7702CB8-3A32-4C19-8F0E-821BF175979A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32696F0-E08C-4CCC-8791-3638B421DBD1}">
          <x14:formula1>
            <xm:f>Valores!$A$5:$A$10</xm:f>
          </x14:formula1>
          <xm:sqref>Q5:V9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114A32-C6FE-4531-AAD8-6E507AAB4238}">
  <dimension ref="A1:T45"/>
  <sheetViews>
    <sheetView workbookViewId="0">
      <pane xSplit="1" topLeftCell="B1" activePane="topRight" state="frozen"/>
      <selection pane="topRight" activeCell="J5" sqref="J5"/>
    </sheetView>
  </sheetViews>
  <sheetFormatPr defaultColWidth="11.42578125" defaultRowHeight="15"/>
  <cols>
    <col min="1" max="1" width="23.85546875" style="57" bestFit="1" customWidth="1"/>
    <col min="2" max="2" width="20.5703125" style="57" customWidth="1"/>
    <col min="3" max="3" width="23.7109375" style="57" customWidth="1"/>
    <col min="4" max="4" width="18.85546875" style="57" bestFit="1" customWidth="1"/>
    <col min="5" max="5" width="11.5703125" style="57" bestFit="1" customWidth="1"/>
    <col min="6" max="6" width="15.28515625" style="57" bestFit="1" customWidth="1"/>
    <col min="7" max="7" width="28.5703125" style="57" bestFit="1" customWidth="1"/>
    <col min="8" max="8" width="33.28515625" style="57" customWidth="1"/>
    <col min="9" max="9" width="79.28515625" style="57" bestFit="1" customWidth="1"/>
    <col min="10" max="10" width="18.140625" style="57" bestFit="1" customWidth="1"/>
    <col min="11" max="11" width="19.28515625" style="57" bestFit="1" customWidth="1"/>
    <col min="12" max="12" width="14.42578125" style="57" bestFit="1" customWidth="1"/>
    <col min="13" max="13" width="15.7109375" style="57" bestFit="1" customWidth="1"/>
    <col min="14" max="14" width="12.85546875" style="57" bestFit="1" customWidth="1"/>
    <col min="15" max="15" width="36.5703125" style="57" bestFit="1" customWidth="1"/>
    <col min="16" max="16" width="94.42578125" style="57" bestFit="1" customWidth="1"/>
    <col min="17" max="17" width="31" style="57" customWidth="1"/>
    <col min="18" max="18" width="34" style="57" customWidth="1"/>
    <col min="19" max="19" width="34.7109375" style="57" customWidth="1"/>
    <col min="20" max="20" width="26.7109375" style="57" customWidth="1"/>
    <col min="21" max="21" width="33.7109375" style="57" customWidth="1"/>
    <col min="22" max="22" width="25.140625" style="57" bestFit="1" customWidth="1"/>
    <col min="23" max="16384" width="11.42578125" style="57"/>
  </cols>
  <sheetData>
    <row r="1" spans="1:20">
      <c r="A1" s="245" t="s">
        <v>57</v>
      </c>
      <c r="B1" s="245"/>
      <c r="C1" s="245"/>
      <c r="D1" s="245"/>
      <c r="E1" s="245"/>
      <c r="F1" s="245"/>
      <c r="G1" s="245"/>
      <c r="H1" s="245"/>
      <c r="I1" s="245"/>
      <c r="J1" s="245"/>
      <c r="K1" s="245"/>
      <c r="L1" s="245"/>
      <c r="M1" s="245"/>
      <c r="N1" s="245"/>
      <c r="O1" s="245"/>
      <c r="P1" s="245"/>
    </row>
    <row r="2" spans="1:20">
      <c r="A2" s="62" t="s">
        <v>58</v>
      </c>
      <c r="B2" s="196" t="str">
        <f>'Listado Objetos de Dominio'!A11</f>
        <v>Asignación Variable</v>
      </c>
      <c r="C2" s="196"/>
      <c r="D2" s="196"/>
      <c r="E2" s="196"/>
      <c r="F2" s="196"/>
      <c r="G2" s="196"/>
      <c r="H2" s="196"/>
      <c r="I2" s="196"/>
      <c r="J2" s="196"/>
      <c r="K2" s="196"/>
      <c r="L2" s="196"/>
      <c r="M2" s="196"/>
      <c r="N2" s="196"/>
      <c r="O2" s="196"/>
      <c r="P2" s="196"/>
    </row>
    <row r="3" spans="1:20">
      <c r="A3" s="99" t="s">
        <v>59</v>
      </c>
      <c r="B3" s="331" t="str">
        <f>'Listado Objetos de Dominio'!B11</f>
        <v>Objeto de dominio el cual anuncia el estado de las diferentes variables cognitivas a las que el estudiante tiene acceso</v>
      </c>
      <c r="C3" s="331"/>
      <c r="D3" s="331"/>
      <c r="E3" s="331"/>
      <c r="F3" s="331"/>
      <c r="G3" s="331"/>
      <c r="H3" s="331"/>
      <c r="I3" s="331"/>
      <c r="J3" s="331"/>
      <c r="K3" s="331"/>
      <c r="L3" s="331"/>
      <c r="M3" s="331"/>
      <c r="N3" s="331"/>
      <c r="O3" s="331"/>
      <c r="P3" s="331"/>
    </row>
    <row r="4" spans="1:20">
      <c r="A4" s="92" t="s">
        <v>60</v>
      </c>
      <c r="B4" s="92" t="s">
        <v>61</v>
      </c>
      <c r="C4" s="92" t="s">
        <v>62</v>
      </c>
      <c r="D4" s="92" t="s">
        <v>63</v>
      </c>
      <c r="E4" s="92" t="s">
        <v>64</v>
      </c>
      <c r="F4" s="92" t="s">
        <v>65</v>
      </c>
      <c r="G4" s="92" t="s">
        <v>66</v>
      </c>
      <c r="H4" s="92" t="s">
        <v>67</v>
      </c>
      <c r="I4" s="92" t="s">
        <v>68</v>
      </c>
      <c r="J4" s="92" t="s">
        <v>69</v>
      </c>
      <c r="K4" s="92" t="s">
        <v>70</v>
      </c>
      <c r="L4" s="92" t="s">
        <v>71</v>
      </c>
      <c r="M4" s="92" t="s">
        <v>72</v>
      </c>
      <c r="N4" s="92" t="s">
        <v>73</v>
      </c>
      <c r="O4" s="92" t="s">
        <v>74</v>
      </c>
      <c r="P4" s="92" t="s">
        <v>2</v>
      </c>
      <c r="Q4" s="160" t="str">
        <f>A19</f>
        <v>Crear Asignación</v>
      </c>
      <c r="R4" s="161" t="str">
        <f>A22</f>
        <v>Abandonar Asignación</v>
      </c>
      <c r="S4" s="160" t="str">
        <f>A26</f>
        <v>Reactivar Asignación</v>
      </c>
      <c r="T4" s="162" t="str">
        <f>A30</f>
        <v>Finalizar Asignación</v>
      </c>
    </row>
    <row r="5" spans="1:20" ht="33.75" customHeight="1">
      <c r="A5" s="52" t="s">
        <v>273</v>
      </c>
      <c r="B5" s="52" t="s">
        <v>76</v>
      </c>
      <c r="C5" s="52">
        <v>36</v>
      </c>
      <c r="D5" s="52">
        <v>36</v>
      </c>
      <c r="E5" s="52"/>
      <c r="F5" s="52"/>
      <c r="G5" s="52"/>
      <c r="H5" s="52" t="s">
        <v>77</v>
      </c>
      <c r="I5" s="52"/>
      <c r="J5" s="93"/>
      <c r="K5" s="98" t="s">
        <v>15</v>
      </c>
      <c r="L5" s="98" t="s">
        <v>17</v>
      </c>
      <c r="M5" s="98" t="s">
        <v>15</v>
      </c>
      <c r="N5" s="98" t="s">
        <v>15</v>
      </c>
      <c r="O5" s="98" t="s">
        <v>15</v>
      </c>
      <c r="P5" s="52" t="s">
        <v>375</v>
      </c>
      <c r="Q5" s="114" t="s">
        <v>9</v>
      </c>
      <c r="R5" s="119" t="s">
        <v>11</v>
      </c>
      <c r="S5" s="114" t="s">
        <v>11</v>
      </c>
      <c r="T5" s="114" t="s">
        <v>7</v>
      </c>
    </row>
    <row r="6" spans="1:20" ht="31.5" customHeight="1">
      <c r="A6" s="52" t="s">
        <v>354</v>
      </c>
      <c r="B6" s="144" t="s">
        <v>76</v>
      </c>
      <c r="C6" s="52"/>
      <c r="D6" s="52"/>
      <c r="E6" s="52"/>
      <c r="F6" s="52"/>
      <c r="G6" s="52"/>
      <c r="H6" s="52" t="s">
        <v>77</v>
      </c>
      <c r="I6" s="52"/>
      <c r="J6" s="93"/>
      <c r="K6" s="98" t="s">
        <v>17</v>
      </c>
      <c r="L6" s="98" t="s">
        <v>17</v>
      </c>
      <c r="M6" s="98" t="s">
        <v>15</v>
      </c>
      <c r="N6" s="98" t="s">
        <v>15</v>
      </c>
      <c r="O6" s="98" t="s">
        <v>15</v>
      </c>
      <c r="P6" s="52" t="s">
        <v>467</v>
      </c>
      <c r="Q6" s="114" t="s">
        <v>7</v>
      </c>
      <c r="R6" s="119" t="s">
        <v>13</v>
      </c>
      <c r="S6" s="114" t="s">
        <v>13</v>
      </c>
      <c r="T6" s="114" t="s">
        <v>7</v>
      </c>
    </row>
    <row r="7" spans="1:20" ht="33.75" customHeight="1">
      <c r="A7" s="52" t="s">
        <v>468</v>
      </c>
      <c r="B7" s="144" t="s">
        <v>76</v>
      </c>
      <c r="C7" s="52"/>
      <c r="D7" s="52"/>
      <c r="E7" s="52"/>
      <c r="F7" s="52"/>
      <c r="G7" s="52"/>
      <c r="H7" s="52" t="s">
        <v>77</v>
      </c>
      <c r="I7" s="52"/>
      <c r="J7" s="93"/>
      <c r="K7" s="98" t="s">
        <v>17</v>
      </c>
      <c r="L7" s="98" t="s">
        <v>17</v>
      </c>
      <c r="M7" s="98" t="s">
        <v>15</v>
      </c>
      <c r="N7" s="98" t="s">
        <v>17</v>
      </c>
      <c r="O7" s="98" t="s">
        <v>17</v>
      </c>
      <c r="P7" s="52" t="s">
        <v>469</v>
      </c>
      <c r="Q7" s="114" t="s">
        <v>7</v>
      </c>
      <c r="R7" s="119" t="s">
        <v>13</v>
      </c>
      <c r="S7" s="114" t="s">
        <v>13</v>
      </c>
      <c r="T7" s="114" t="s">
        <v>7</v>
      </c>
    </row>
    <row r="8" spans="1:20" ht="27">
      <c r="A8" s="52" t="s">
        <v>470</v>
      </c>
      <c r="B8" s="52" t="s">
        <v>471</v>
      </c>
      <c r="C8" s="52"/>
      <c r="D8" s="52"/>
      <c r="E8" s="52"/>
      <c r="F8" s="52"/>
      <c r="G8" s="52"/>
      <c r="H8" s="52" t="s">
        <v>472</v>
      </c>
      <c r="I8" s="52"/>
      <c r="J8" s="93"/>
      <c r="K8" s="98" t="s">
        <v>17</v>
      </c>
      <c r="L8" s="98" t="s">
        <v>17</v>
      </c>
      <c r="M8" s="98" t="s">
        <v>17</v>
      </c>
      <c r="N8" s="98" t="s">
        <v>17</v>
      </c>
      <c r="O8" s="98" t="s">
        <v>17</v>
      </c>
      <c r="P8" s="52" t="s">
        <v>473</v>
      </c>
      <c r="Q8" s="114" t="s">
        <v>7</v>
      </c>
      <c r="R8" s="119" t="s">
        <v>13</v>
      </c>
      <c r="S8" s="114" t="s">
        <v>13</v>
      </c>
      <c r="T8" s="114" t="s">
        <v>9</v>
      </c>
    </row>
    <row r="9" spans="1:20" ht="31.5" customHeight="1">
      <c r="A9" s="52" t="s">
        <v>474</v>
      </c>
      <c r="B9" s="52" t="s">
        <v>471</v>
      </c>
      <c r="C9" s="52"/>
      <c r="D9" s="52"/>
      <c r="E9" s="52"/>
      <c r="F9" s="52"/>
      <c r="G9" s="52"/>
      <c r="H9" s="52" t="s">
        <v>475</v>
      </c>
      <c r="I9" s="52"/>
      <c r="J9" s="93"/>
      <c r="K9" s="98" t="s">
        <v>17</v>
      </c>
      <c r="L9" s="98" t="s">
        <v>17</v>
      </c>
      <c r="M9" s="98" t="s">
        <v>17</v>
      </c>
      <c r="N9" s="98" t="s">
        <v>15</v>
      </c>
      <c r="O9" s="98" t="s">
        <v>17</v>
      </c>
      <c r="P9" s="52" t="s">
        <v>476</v>
      </c>
      <c r="Q9" s="114" t="s">
        <v>7</v>
      </c>
      <c r="R9" s="119" t="s">
        <v>13</v>
      </c>
      <c r="S9" s="114" t="s">
        <v>13</v>
      </c>
      <c r="T9" s="114" t="s">
        <v>7</v>
      </c>
    </row>
    <row r="10" spans="1:20" ht="31.5" customHeight="1">
      <c r="A10" s="52" t="s">
        <v>477</v>
      </c>
      <c r="B10" s="144" t="s">
        <v>76</v>
      </c>
      <c r="C10" s="52"/>
      <c r="D10" s="52"/>
      <c r="E10" s="52"/>
      <c r="F10" s="52"/>
      <c r="G10" s="52"/>
      <c r="H10" s="52" t="s">
        <v>77</v>
      </c>
      <c r="I10" s="52" t="s">
        <v>478</v>
      </c>
      <c r="J10" s="93"/>
      <c r="K10" s="98" t="s">
        <v>17</v>
      </c>
      <c r="L10" s="98" t="s">
        <v>15</v>
      </c>
      <c r="M10" s="98" t="s">
        <v>15</v>
      </c>
      <c r="N10" s="98" t="s">
        <v>17</v>
      </c>
      <c r="O10" s="98" t="s">
        <v>17</v>
      </c>
      <c r="P10" s="52" t="s">
        <v>479</v>
      </c>
      <c r="Q10" s="114" t="s">
        <v>7</v>
      </c>
      <c r="R10" s="119" t="s">
        <v>13</v>
      </c>
      <c r="S10" s="114" t="s">
        <v>13</v>
      </c>
      <c r="T10" s="114" t="s">
        <v>7</v>
      </c>
    </row>
    <row r="12" spans="1:20">
      <c r="A12" s="281" t="s">
        <v>99</v>
      </c>
      <c r="B12" s="282"/>
      <c r="C12" s="283"/>
    </row>
    <row r="13" spans="1:20">
      <c r="A13" s="65" t="s">
        <v>100</v>
      </c>
      <c r="B13" s="61" t="s">
        <v>2</v>
      </c>
      <c r="C13" s="69" t="s">
        <v>101</v>
      </c>
    </row>
    <row r="14" spans="1:20" ht="30" customHeight="1">
      <c r="A14" s="285" t="s">
        <v>102</v>
      </c>
      <c r="B14" s="287" t="s">
        <v>480</v>
      </c>
      <c r="C14" s="70" t="str">
        <f>A6</f>
        <v>entrenamientoCognitivo</v>
      </c>
    </row>
    <row r="15" spans="1:20" ht="32.25" customHeight="1">
      <c r="A15" s="286"/>
      <c r="B15" s="288"/>
      <c r="C15" s="70" t="str">
        <f>A7</f>
        <v>tipoVariableCognitiva</v>
      </c>
    </row>
    <row r="17" spans="1:18">
      <c r="A17" s="324" t="s">
        <v>106</v>
      </c>
      <c r="B17" s="325"/>
      <c r="C17" s="325" t="s">
        <v>2</v>
      </c>
      <c r="D17" s="325"/>
      <c r="E17" s="325"/>
      <c r="F17" s="325"/>
      <c r="G17" s="325" t="s">
        <v>107</v>
      </c>
      <c r="H17" s="325"/>
      <c r="I17" s="325"/>
      <c r="J17" s="325" t="s">
        <v>108</v>
      </c>
      <c r="K17" s="325"/>
      <c r="L17" s="325"/>
      <c r="M17" s="325"/>
      <c r="N17" s="325"/>
      <c r="O17" s="325" t="s">
        <v>109</v>
      </c>
      <c r="P17" s="325"/>
      <c r="Q17" s="325" t="s">
        <v>185</v>
      </c>
      <c r="R17" s="328"/>
    </row>
    <row r="18" spans="1:18">
      <c r="A18" s="326"/>
      <c r="B18" s="327"/>
      <c r="C18" s="327"/>
      <c r="D18" s="327"/>
      <c r="E18" s="327"/>
      <c r="F18" s="327"/>
      <c r="G18" s="96" t="s">
        <v>110</v>
      </c>
      <c r="H18" s="96" t="s">
        <v>111</v>
      </c>
      <c r="I18" s="96" t="s">
        <v>2</v>
      </c>
      <c r="J18" s="96" t="s">
        <v>61</v>
      </c>
      <c r="K18" s="327" t="s">
        <v>2</v>
      </c>
      <c r="L18" s="327"/>
      <c r="M18" s="327"/>
      <c r="N18" s="327"/>
      <c r="O18" s="96" t="s">
        <v>112</v>
      </c>
      <c r="P18" s="96" t="s">
        <v>2</v>
      </c>
      <c r="Q18" s="96" t="s">
        <v>113</v>
      </c>
      <c r="R18" s="117" t="s">
        <v>114</v>
      </c>
    </row>
    <row r="19" spans="1:18" ht="48" customHeight="1">
      <c r="A19" s="238" t="s">
        <v>481</v>
      </c>
      <c r="B19" s="238"/>
      <c r="C19" s="237" t="s">
        <v>482</v>
      </c>
      <c r="D19" s="237"/>
      <c r="E19" s="237"/>
      <c r="F19" s="237"/>
      <c r="G19" s="120" t="s">
        <v>268</v>
      </c>
      <c r="H19" s="159" t="s">
        <v>76</v>
      </c>
      <c r="I19" s="120" t="s">
        <v>362</v>
      </c>
      <c r="J19" s="258"/>
      <c r="K19" s="237"/>
      <c r="L19" s="237"/>
      <c r="M19" s="237"/>
      <c r="N19" s="237"/>
      <c r="O19" s="140" t="s">
        <v>483</v>
      </c>
      <c r="P19" s="120" t="s">
        <v>484</v>
      </c>
      <c r="Q19" s="120" t="s">
        <v>485</v>
      </c>
      <c r="R19" s="120" t="s">
        <v>486</v>
      </c>
    </row>
    <row r="20" spans="1:18" ht="48" customHeight="1">
      <c r="A20" s="238"/>
      <c r="B20" s="238"/>
      <c r="C20" s="237"/>
      <c r="D20" s="237"/>
      <c r="E20" s="237"/>
      <c r="F20" s="237"/>
      <c r="G20" s="237" t="s">
        <v>408</v>
      </c>
      <c r="H20" s="330" t="s">
        <v>76</v>
      </c>
      <c r="I20" s="237" t="s">
        <v>487</v>
      </c>
      <c r="J20" s="258"/>
      <c r="K20" s="237"/>
      <c r="L20" s="237"/>
      <c r="M20" s="237"/>
      <c r="N20" s="237"/>
      <c r="O20" s="140" t="s">
        <v>488</v>
      </c>
      <c r="P20" s="120" t="s">
        <v>489</v>
      </c>
      <c r="Q20" s="237" t="s">
        <v>490</v>
      </c>
      <c r="R20" s="237" t="s">
        <v>491</v>
      </c>
    </row>
    <row r="21" spans="1:18" ht="48" customHeight="1">
      <c r="A21" s="238"/>
      <c r="B21" s="238"/>
      <c r="C21" s="237"/>
      <c r="D21" s="237"/>
      <c r="E21" s="237"/>
      <c r="F21" s="237"/>
      <c r="G21" s="237"/>
      <c r="H21" s="330"/>
      <c r="I21" s="237"/>
      <c r="J21" s="258"/>
      <c r="K21" s="237"/>
      <c r="L21" s="237"/>
      <c r="M21" s="237"/>
      <c r="N21" s="237"/>
      <c r="O21" s="140" t="s">
        <v>492</v>
      </c>
      <c r="P21" s="120" t="s">
        <v>493</v>
      </c>
      <c r="Q21" s="237"/>
      <c r="R21" s="237"/>
    </row>
    <row r="22" spans="1:18" ht="48" customHeight="1">
      <c r="A22" s="238" t="s">
        <v>494</v>
      </c>
      <c r="B22" s="238"/>
      <c r="C22" s="237" t="s">
        <v>495</v>
      </c>
      <c r="D22" s="237"/>
      <c r="E22" s="237"/>
      <c r="F22" s="237"/>
      <c r="G22" s="120" t="s">
        <v>496</v>
      </c>
      <c r="H22" s="159" t="s">
        <v>80</v>
      </c>
      <c r="I22" s="120" t="s">
        <v>430</v>
      </c>
      <c r="J22" s="237" t="s">
        <v>119</v>
      </c>
      <c r="K22" s="237" t="s">
        <v>497</v>
      </c>
      <c r="L22" s="237"/>
      <c r="M22" s="237"/>
      <c r="N22" s="237"/>
      <c r="O22" s="140" t="s">
        <v>498</v>
      </c>
      <c r="P22" s="120" t="s">
        <v>499</v>
      </c>
      <c r="Q22" s="120" t="s">
        <v>500</v>
      </c>
      <c r="R22" s="120" t="s">
        <v>501</v>
      </c>
    </row>
    <row r="23" spans="1:18" ht="49.5" customHeight="1">
      <c r="A23" s="238"/>
      <c r="B23" s="238"/>
      <c r="C23" s="237"/>
      <c r="D23" s="237"/>
      <c r="E23" s="237"/>
      <c r="F23" s="237"/>
      <c r="G23" s="120" t="s">
        <v>87</v>
      </c>
      <c r="H23" s="159" t="s">
        <v>80</v>
      </c>
      <c r="I23" s="120" t="s">
        <v>135</v>
      </c>
      <c r="J23" s="237"/>
      <c r="K23" s="237"/>
      <c r="L23" s="237"/>
      <c r="M23" s="237"/>
      <c r="N23" s="237"/>
      <c r="O23" s="140" t="s">
        <v>502</v>
      </c>
      <c r="P23" s="120" t="s">
        <v>503</v>
      </c>
      <c r="Q23" s="120" t="s">
        <v>504</v>
      </c>
      <c r="R23" s="120" t="s">
        <v>233</v>
      </c>
    </row>
    <row r="24" spans="1:18" ht="49.5" customHeight="1">
      <c r="A24" s="238"/>
      <c r="B24" s="238"/>
      <c r="C24" s="237"/>
      <c r="D24" s="237"/>
      <c r="E24" s="237"/>
      <c r="F24" s="237"/>
      <c r="G24" s="237" t="s">
        <v>505</v>
      </c>
      <c r="H24" s="330" t="s">
        <v>76</v>
      </c>
      <c r="I24" s="237" t="s">
        <v>506</v>
      </c>
      <c r="J24" s="237"/>
      <c r="K24" s="237"/>
      <c r="L24" s="237"/>
      <c r="M24" s="237"/>
      <c r="N24" s="237"/>
      <c r="O24" s="329" t="s">
        <v>507</v>
      </c>
      <c r="P24" s="237" t="s">
        <v>508</v>
      </c>
      <c r="Q24" s="120" t="s">
        <v>466</v>
      </c>
      <c r="R24" s="120" t="s">
        <v>228</v>
      </c>
    </row>
    <row r="25" spans="1:18" ht="49.5" customHeight="1">
      <c r="A25" s="238"/>
      <c r="B25" s="238"/>
      <c r="C25" s="237"/>
      <c r="D25" s="237"/>
      <c r="E25" s="237"/>
      <c r="F25" s="237"/>
      <c r="G25" s="237"/>
      <c r="H25" s="330"/>
      <c r="I25" s="237"/>
      <c r="J25" s="237"/>
      <c r="K25" s="237"/>
      <c r="L25" s="237"/>
      <c r="M25" s="237"/>
      <c r="N25" s="237"/>
      <c r="O25" s="329"/>
      <c r="P25" s="237"/>
      <c r="Q25" s="120" t="s">
        <v>236</v>
      </c>
      <c r="R25" s="120" t="s">
        <v>237</v>
      </c>
    </row>
    <row r="26" spans="1:18" ht="49.5" customHeight="1">
      <c r="A26" s="238" t="s">
        <v>509</v>
      </c>
      <c r="B26" s="238"/>
      <c r="C26" s="237" t="s">
        <v>510</v>
      </c>
      <c r="D26" s="237"/>
      <c r="E26" s="237"/>
      <c r="F26" s="237"/>
      <c r="G26" s="120" t="s">
        <v>496</v>
      </c>
      <c r="H26" s="159" t="s">
        <v>80</v>
      </c>
      <c r="I26" s="120" t="s">
        <v>430</v>
      </c>
      <c r="J26" s="237" t="s">
        <v>119</v>
      </c>
      <c r="K26" s="237" t="s">
        <v>511</v>
      </c>
      <c r="L26" s="237"/>
      <c r="M26" s="237"/>
      <c r="N26" s="237"/>
      <c r="O26" s="140" t="s">
        <v>498</v>
      </c>
      <c r="P26" s="120" t="s">
        <v>499</v>
      </c>
      <c r="Q26" s="120" t="s">
        <v>500</v>
      </c>
      <c r="R26" s="120" t="s">
        <v>501</v>
      </c>
    </row>
    <row r="27" spans="1:18" ht="49.5" customHeight="1">
      <c r="A27" s="238"/>
      <c r="B27" s="238"/>
      <c r="C27" s="237"/>
      <c r="D27" s="237"/>
      <c r="E27" s="237"/>
      <c r="F27" s="237"/>
      <c r="G27" s="120" t="s">
        <v>87</v>
      </c>
      <c r="H27" s="159" t="s">
        <v>80</v>
      </c>
      <c r="I27" s="120" t="s">
        <v>135</v>
      </c>
      <c r="J27" s="237"/>
      <c r="K27" s="237"/>
      <c r="L27" s="237"/>
      <c r="M27" s="237"/>
      <c r="N27" s="237"/>
      <c r="O27" s="140" t="s">
        <v>512</v>
      </c>
      <c r="P27" s="120" t="s">
        <v>513</v>
      </c>
      <c r="Q27" s="120" t="s">
        <v>514</v>
      </c>
      <c r="R27" s="120" t="s">
        <v>233</v>
      </c>
    </row>
    <row r="28" spans="1:18" ht="49.5" customHeight="1">
      <c r="A28" s="238"/>
      <c r="B28" s="238"/>
      <c r="C28" s="237"/>
      <c r="D28" s="237"/>
      <c r="E28" s="237"/>
      <c r="F28" s="237"/>
      <c r="G28" s="237" t="s">
        <v>505</v>
      </c>
      <c r="H28" s="330" t="s">
        <v>76</v>
      </c>
      <c r="I28" s="237" t="s">
        <v>515</v>
      </c>
      <c r="J28" s="237"/>
      <c r="K28" s="237"/>
      <c r="L28" s="237"/>
      <c r="M28" s="237"/>
      <c r="N28" s="237"/>
      <c r="O28" s="329" t="s">
        <v>516</v>
      </c>
      <c r="P28" s="237" t="s">
        <v>517</v>
      </c>
      <c r="Q28" s="120" t="s">
        <v>466</v>
      </c>
      <c r="R28" s="120" t="s">
        <v>228</v>
      </c>
    </row>
    <row r="29" spans="1:18" ht="49.5" customHeight="1">
      <c r="A29" s="238"/>
      <c r="B29" s="238"/>
      <c r="C29" s="237"/>
      <c r="D29" s="237"/>
      <c r="E29" s="237"/>
      <c r="F29" s="237"/>
      <c r="G29" s="237"/>
      <c r="H29" s="330"/>
      <c r="I29" s="237"/>
      <c r="J29" s="237"/>
      <c r="K29" s="237"/>
      <c r="L29" s="237"/>
      <c r="M29" s="237"/>
      <c r="N29" s="237"/>
      <c r="O29" s="329"/>
      <c r="P29" s="237"/>
      <c r="Q29" s="120" t="s">
        <v>236</v>
      </c>
      <c r="R29" s="120" t="s">
        <v>237</v>
      </c>
    </row>
    <row r="30" spans="1:18" ht="49.5" customHeight="1">
      <c r="A30" s="238" t="s">
        <v>451</v>
      </c>
      <c r="B30" s="238"/>
      <c r="C30" s="237" t="s">
        <v>518</v>
      </c>
      <c r="D30" s="237"/>
      <c r="E30" s="237"/>
      <c r="F30" s="237"/>
      <c r="G30" s="237" t="s">
        <v>453</v>
      </c>
      <c r="H30" s="330" t="s">
        <v>76</v>
      </c>
      <c r="I30" s="237" t="s">
        <v>454</v>
      </c>
      <c r="J30" s="237" t="s">
        <v>119</v>
      </c>
      <c r="K30" s="237" t="s">
        <v>519</v>
      </c>
      <c r="L30" s="237"/>
      <c r="M30" s="237"/>
      <c r="N30" s="237"/>
      <c r="O30" s="140" t="s">
        <v>498</v>
      </c>
      <c r="P30" s="120" t="s">
        <v>499</v>
      </c>
      <c r="Q30" s="120" t="s">
        <v>500</v>
      </c>
      <c r="R30" s="120" t="s">
        <v>501</v>
      </c>
    </row>
    <row r="31" spans="1:18" ht="49.5" customHeight="1">
      <c r="A31" s="238"/>
      <c r="B31" s="238"/>
      <c r="C31" s="237"/>
      <c r="D31" s="237"/>
      <c r="E31" s="237"/>
      <c r="F31" s="237"/>
      <c r="G31" s="237"/>
      <c r="H31" s="330"/>
      <c r="I31" s="237"/>
      <c r="J31" s="237"/>
      <c r="K31" s="237"/>
      <c r="L31" s="237"/>
      <c r="M31" s="237"/>
      <c r="N31" s="237"/>
      <c r="O31" s="140" t="s">
        <v>516</v>
      </c>
      <c r="P31" s="120" t="s">
        <v>455</v>
      </c>
      <c r="Q31" s="120" t="s">
        <v>456</v>
      </c>
      <c r="R31" s="120" t="s">
        <v>445</v>
      </c>
    </row>
    <row r="32" spans="1:18" ht="49.5" customHeight="1">
      <c r="A32" s="238"/>
      <c r="B32" s="238"/>
      <c r="C32" s="237"/>
      <c r="D32" s="237"/>
      <c r="E32" s="237"/>
      <c r="F32" s="237"/>
      <c r="G32" s="237"/>
      <c r="H32" s="330"/>
      <c r="I32" s="237"/>
      <c r="J32" s="237"/>
      <c r="K32" s="237"/>
      <c r="L32" s="237"/>
      <c r="M32" s="237"/>
      <c r="N32" s="237"/>
      <c r="O32" s="140" t="s">
        <v>520</v>
      </c>
      <c r="P32" s="120" t="s">
        <v>521</v>
      </c>
      <c r="Q32" s="120" t="s">
        <v>236</v>
      </c>
      <c r="R32" s="120" t="s">
        <v>237</v>
      </c>
    </row>
    <row r="33" ht="48" customHeight="1"/>
    <row r="36" ht="49.5" customHeight="1"/>
    <row r="37" ht="49.5" customHeight="1"/>
    <row r="38" ht="49.5" customHeight="1"/>
    <row r="39" ht="48.75" customHeight="1"/>
    <row r="40" ht="31.5" customHeight="1"/>
    <row r="41" ht="48.75" customHeight="1"/>
    <row r="42" ht="33.75" customHeight="1"/>
    <row r="43" ht="34.5" customHeight="1"/>
    <row r="44" ht="57" customHeight="1"/>
    <row r="45" ht="30.75" customHeight="1"/>
  </sheetData>
  <mergeCells count="47">
    <mergeCell ref="A1:P1"/>
    <mergeCell ref="B2:P2"/>
    <mergeCell ref="B3:P3"/>
    <mergeCell ref="A12:C12"/>
    <mergeCell ref="A17:B18"/>
    <mergeCell ref="C17:F18"/>
    <mergeCell ref="G17:I17"/>
    <mergeCell ref="J17:N17"/>
    <mergeCell ref="O17:P17"/>
    <mergeCell ref="K18:N18"/>
    <mergeCell ref="A14:A15"/>
    <mergeCell ref="B14:B15"/>
    <mergeCell ref="H24:H25"/>
    <mergeCell ref="C22:F25"/>
    <mergeCell ref="A22:B25"/>
    <mergeCell ref="G28:G29"/>
    <mergeCell ref="H28:H29"/>
    <mergeCell ref="G20:G21"/>
    <mergeCell ref="H20:H21"/>
    <mergeCell ref="I20:I21"/>
    <mergeCell ref="A19:B21"/>
    <mergeCell ref="C19:F21"/>
    <mergeCell ref="Q17:R17"/>
    <mergeCell ref="J19:J21"/>
    <mergeCell ref="K19:N21"/>
    <mergeCell ref="R20:R21"/>
    <mergeCell ref="P24:P25"/>
    <mergeCell ref="O24:O25"/>
    <mergeCell ref="K22:N25"/>
    <mergeCell ref="J22:J25"/>
    <mergeCell ref="Q20:Q21"/>
    <mergeCell ref="I24:I25"/>
    <mergeCell ref="O28:O29"/>
    <mergeCell ref="P28:P29"/>
    <mergeCell ref="A30:B32"/>
    <mergeCell ref="C30:F32"/>
    <mergeCell ref="G30:G32"/>
    <mergeCell ref="H30:H32"/>
    <mergeCell ref="I30:I32"/>
    <mergeCell ref="J30:J32"/>
    <mergeCell ref="K30:N32"/>
    <mergeCell ref="I28:I29"/>
    <mergeCell ref="A26:B29"/>
    <mergeCell ref="C26:F29"/>
    <mergeCell ref="J26:J29"/>
    <mergeCell ref="K26:N29"/>
    <mergeCell ref="G24:G25"/>
  </mergeCells>
  <hyperlinks>
    <hyperlink ref="A1" location="'Objetos de Dominio'!A1" display="Volver al inicio" xr:uid="{889CCB60-327A-4BD8-AB5E-9113410CC997}"/>
    <hyperlink ref="R4" location="'Asignación Variable Cognitiva'!A22" display="=A22" xr:uid="{ED129169-36F5-48C2-AADB-13AFEA4EF0BE}"/>
    <hyperlink ref="Q4" location="'Asignación Variable Cognitiva'!A19" display="=A19" xr:uid="{B7197E9F-E158-41C9-BA58-9ACC572BD098}"/>
    <hyperlink ref="A1:P1" location="'Listado Objetos de Dominio'!A1" display="&lt;-Volver al inicio" xr:uid="{E7A62EDD-B4BE-4A60-8E0F-893E80DAE5BB}"/>
    <hyperlink ref="S4" location="'Asignación Variable Cognitiva'!A26" display="=A26" xr:uid="{A3881DF1-1053-47EC-9586-1D44A7933F1C}"/>
    <hyperlink ref="T4" location="'Asignación Variable Cognitiva'!A30" display="=A30" xr:uid="{D13639D6-2BBB-4F41-9042-28C369191D0B}"/>
    <hyperlink ref="B6" location="'Entrenamiento Cognitivo'!A1" display="UUID" xr:uid="{7AE1B11D-12E3-4901-8769-31DAF554AD89}"/>
    <hyperlink ref="B7" location="'Variable Cognitiva'!A1" display="UUID" xr:uid="{C12AFD14-7CB3-4876-8F32-4320B9AE1358}"/>
    <hyperlink ref="B10" location="'estado'!A1" display="UUID" xr:uid="{F3A59D78-53B4-42AF-B14C-FDA65D6A5FF1}"/>
    <hyperlink ref="C14" location="'Asignación Variable Cognitiva'!A4" display="=A6" xr:uid="{82687BF1-27DC-4B43-90F4-066EB99D4494}"/>
    <hyperlink ref="C15" location="'Asignación Variable Cognitiva'!A7" display="=A7" xr:uid="{FB631970-918D-4129-9FC1-C6F34D5E9CD4}"/>
    <hyperlink ref="A19:B21" location="'Asignación Variable Cognitiva'!Q4" display="Crear Asignación" xr:uid="{4303ACEF-32E1-4CA7-B1CB-9D35529E44EC}"/>
    <hyperlink ref="A22:B25" location="'Asignación Variable Cognitiva'!R4" display="Abandonar Asignación" xr:uid="{880E8CBF-BD04-4878-9808-8721F2493E71}"/>
    <hyperlink ref="A26:B29" location="'Asignación Variable Cognitiva'!S4" display="Reactivar Asignación" xr:uid="{E839B7AB-E278-4F28-9A6A-067A0DAC95F3}"/>
    <hyperlink ref="A30:B32" location="'Asignación Variable Cognitiva'!T4" display="Finalizar Asignación" xr:uid="{AF69B7BB-862B-45E7-84F4-5B8F7CD1A3A9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68942723-0E30-4DBF-B167-E54C1074B016}">
          <x14:formula1>
            <xm:f>Valores!$A$3:$A$10</xm:f>
          </x14:formula1>
          <xm:sqref>Q5:T10</xm:sqref>
        </x14:dataValidation>
        <x14:dataValidation type="list" allowBlank="1" showInputMessage="1" showErrorMessage="1" xr:uid="{2E4F8B9B-BD88-40EC-9213-3C100D1FB648}">
          <x14:formula1>
            <xm:f>Valores!$A$5:$A$10</xm:f>
          </x14:formula1>
          <xm:sqref>K5:O10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020E60-9CE4-4CE8-B7B5-CCA8DB60644B}">
  <dimension ref="A1:T43"/>
  <sheetViews>
    <sheetView zoomScale="70" zoomScaleNormal="70" workbookViewId="0">
      <pane xSplit="1" topLeftCell="B2" activePane="topRight" state="frozen"/>
      <selection pane="topRight" activeCell="T16" sqref="T16"/>
    </sheetView>
  </sheetViews>
  <sheetFormatPr defaultColWidth="11.42578125" defaultRowHeight="15"/>
  <cols>
    <col min="1" max="1" width="23.85546875" style="57" bestFit="1" customWidth="1"/>
    <col min="2" max="2" width="21.28515625" style="57" customWidth="1"/>
    <col min="3" max="3" width="18.7109375" style="57" bestFit="1" customWidth="1"/>
    <col min="4" max="4" width="18.85546875" style="57" bestFit="1" customWidth="1"/>
    <col min="5" max="5" width="11.5703125" style="57" bestFit="1" customWidth="1"/>
    <col min="6" max="6" width="15.28515625" style="57" bestFit="1" customWidth="1"/>
    <col min="7" max="7" width="28.5703125" style="57" bestFit="1" customWidth="1"/>
    <col min="8" max="8" width="22.140625" style="57" customWidth="1"/>
    <col min="9" max="9" width="79.28515625" style="57" bestFit="1" customWidth="1"/>
    <col min="10" max="10" width="18.140625" style="57" bestFit="1" customWidth="1"/>
    <col min="11" max="11" width="19.28515625" style="57" bestFit="1" customWidth="1"/>
    <col min="12" max="12" width="14.42578125" style="57" bestFit="1" customWidth="1"/>
    <col min="13" max="13" width="15.7109375" style="57" bestFit="1" customWidth="1"/>
    <col min="14" max="14" width="12.85546875" style="57" bestFit="1" customWidth="1"/>
    <col min="15" max="15" width="25" style="57" bestFit="1" customWidth="1"/>
    <col min="16" max="16" width="94.42578125" style="57" bestFit="1" customWidth="1"/>
    <col min="17" max="17" width="39.5703125" style="57" customWidth="1"/>
    <col min="18" max="18" width="39" style="57" customWidth="1"/>
    <col min="19" max="19" width="20.5703125" style="57" bestFit="1" customWidth="1"/>
    <col min="20" max="20" width="23.7109375" style="57" bestFit="1" customWidth="1"/>
    <col min="21" max="21" width="52.28515625" style="57" bestFit="1" customWidth="1"/>
    <col min="22" max="16384" width="11.42578125" style="57"/>
  </cols>
  <sheetData>
    <row r="1" spans="1:20">
      <c r="A1" s="245" t="s">
        <v>57</v>
      </c>
      <c r="B1" s="245"/>
      <c r="C1" s="245"/>
      <c r="D1" s="245"/>
      <c r="E1" s="245"/>
      <c r="F1" s="245"/>
      <c r="G1" s="245"/>
      <c r="H1" s="245"/>
      <c r="I1" s="245"/>
      <c r="J1" s="245"/>
      <c r="K1" s="245"/>
      <c r="L1" s="245"/>
      <c r="M1" s="245"/>
      <c r="N1" s="245"/>
      <c r="O1" s="245"/>
      <c r="P1" s="245"/>
    </row>
    <row r="2" spans="1:20">
      <c r="A2" s="62" t="s">
        <v>58</v>
      </c>
      <c r="B2" s="196" t="str">
        <f>'Listado Objetos de Dominio'!A5</f>
        <v>Administrador</v>
      </c>
      <c r="C2" s="196"/>
      <c r="D2" s="196"/>
      <c r="E2" s="196"/>
      <c r="F2" s="196"/>
      <c r="G2" s="196"/>
      <c r="H2" s="196"/>
      <c r="I2" s="196"/>
      <c r="J2" s="196"/>
      <c r="K2" s="196"/>
      <c r="L2" s="196"/>
      <c r="M2" s="196"/>
      <c r="N2" s="196"/>
      <c r="O2" s="196"/>
      <c r="P2" s="196"/>
    </row>
    <row r="3" spans="1:20">
      <c r="A3" s="62" t="s">
        <v>59</v>
      </c>
      <c r="B3" s="196" t="str">
        <f>'Listado Objetos de Dominio'!B5</f>
        <v>Objeto de dominio correspondiente a los administrador de la aplicación Cognicare</v>
      </c>
      <c r="C3" s="196"/>
      <c r="D3" s="196"/>
      <c r="E3" s="196"/>
      <c r="F3" s="196"/>
      <c r="G3" s="196"/>
      <c r="H3" s="196"/>
      <c r="I3" s="196"/>
      <c r="J3" s="196"/>
      <c r="K3" s="196"/>
      <c r="L3" s="196"/>
      <c r="M3" s="196"/>
      <c r="N3" s="196"/>
      <c r="O3" s="196"/>
      <c r="P3" s="196"/>
    </row>
    <row r="4" spans="1:20">
      <c r="A4" s="63" t="s">
        <v>60</v>
      </c>
      <c r="B4" s="10" t="s">
        <v>61</v>
      </c>
      <c r="C4" s="10" t="s">
        <v>62</v>
      </c>
      <c r="D4" s="10" t="s">
        <v>63</v>
      </c>
      <c r="E4" s="10" t="s">
        <v>64</v>
      </c>
      <c r="F4" s="10" t="s">
        <v>65</v>
      </c>
      <c r="G4" s="10" t="s">
        <v>66</v>
      </c>
      <c r="H4" s="10" t="s">
        <v>67</v>
      </c>
      <c r="I4" s="10" t="s">
        <v>68</v>
      </c>
      <c r="J4" s="10" t="s">
        <v>69</v>
      </c>
      <c r="K4" s="10" t="s">
        <v>70</v>
      </c>
      <c r="L4" s="10" t="s">
        <v>71</v>
      </c>
      <c r="M4" s="10" t="s">
        <v>72</v>
      </c>
      <c r="N4" s="10" t="s">
        <v>73</v>
      </c>
      <c r="O4" s="10" t="s">
        <v>74</v>
      </c>
      <c r="P4" s="10" t="s">
        <v>2</v>
      </c>
      <c r="Q4" s="115" t="str">
        <f>A20</f>
        <v>Crear Sesión</v>
      </c>
      <c r="R4" s="115" t="str">
        <f>A24</f>
        <v>Iniciar Sesión</v>
      </c>
      <c r="S4" s="115" t="str">
        <f>A26</f>
        <v>Finalizar Sesión</v>
      </c>
      <c r="T4" s="115" t="str">
        <f>A29</f>
        <v>Actualizar Observación</v>
      </c>
    </row>
    <row r="5" spans="1:20" ht="27">
      <c r="A5" s="64" t="s">
        <v>75</v>
      </c>
      <c r="B5" s="7" t="s">
        <v>76</v>
      </c>
      <c r="C5" s="7">
        <v>36</v>
      </c>
      <c r="D5" s="7">
        <v>36</v>
      </c>
      <c r="E5" s="7"/>
      <c r="F5" s="7"/>
      <c r="G5" s="7"/>
      <c r="H5" s="7" t="s">
        <v>522</v>
      </c>
      <c r="I5" s="7"/>
      <c r="J5" s="13"/>
      <c r="K5" s="67" t="s">
        <v>15</v>
      </c>
      <c r="L5" s="7" t="s">
        <v>17</v>
      </c>
      <c r="M5" s="7" t="s">
        <v>15</v>
      </c>
      <c r="N5" s="7" t="s">
        <v>15</v>
      </c>
      <c r="O5" s="7" t="s">
        <v>15</v>
      </c>
      <c r="P5" s="7" t="s">
        <v>523</v>
      </c>
      <c r="Q5" s="116" t="s">
        <v>7</v>
      </c>
      <c r="R5" s="164" t="s">
        <v>11</v>
      </c>
      <c r="S5" s="164" t="s">
        <v>9</v>
      </c>
      <c r="T5" s="164" t="s">
        <v>9</v>
      </c>
    </row>
    <row r="6" spans="1:20" ht="27">
      <c r="A6" s="64" t="s">
        <v>524</v>
      </c>
      <c r="B6" s="147" t="s">
        <v>76</v>
      </c>
      <c r="C6" s="7"/>
      <c r="D6" s="7"/>
      <c r="E6" s="7"/>
      <c r="F6" s="7"/>
      <c r="G6" s="7"/>
      <c r="H6" s="7" t="s">
        <v>522</v>
      </c>
      <c r="I6" s="7"/>
      <c r="J6" s="13"/>
      <c r="K6" s="67" t="s">
        <v>17</v>
      </c>
      <c r="L6" s="7" t="s">
        <v>17</v>
      </c>
      <c r="M6" s="7" t="s">
        <v>15</v>
      </c>
      <c r="N6" s="7" t="s">
        <v>15</v>
      </c>
      <c r="O6" s="7" t="s">
        <v>17</v>
      </c>
      <c r="P6" s="7" t="s">
        <v>525</v>
      </c>
      <c r="Q6" s="116" t="s">
        <v>7</v>
      </c>
      <c r="R6" s="164" t="s">
        <v>9</v>
      </c>
      <c r="S6" s="164" t="s">
        <v>9</v>
      </c>
      <c r="T6" s="164" t="s">
        <v>9</v>
      </c>
    </row>
    <row r="7" spans="1:20">
      <c r="A7" s="64" t="s">
        <v>526</v>
      </c>
      <c r="B7" s="7" t="s">
        <v>80</v>
      </c>
      <c r="C7" s="7"/>
      <c r="D7" s="7"/>
      <c r="E7" s="7"/>
      <c r="F7" s="7"/>
      <c r="G7" s="7"/>
      <c r="H7" s="7" t="s">
        <v>527</v>
      </c>
      <c r="I7" s="7"/>
      <c r="J7" s="13"/>
      <c r="K7" s="67" t="s">
        <v>15</v>
      </c>
      <c r="L7" s="7" t="s">
        <v>17</v>
      </c>
      <c r="M7" s="7" t="s">
        <v>15</v>
      </c>
      <c r="N7" s="7" t="s">
        <v>17</v>
      </c>
      <c r="O7" s="7" t="s">
        <v>17</v>
      </c>
      <c r="P7" s="7" t="s">
        <v>528</v>
      </c>
      <c r="Q7" s="116" t="s">
        <v>7</v>
      </c>
      <c r="R7" s="164" t="s">
        <v>7</v>
      </c>
      <c r="S7" s="164" t="s">
        <v>9</v>
      </c>
      <c r="T7" s="164" t="s">
        <v>9</v>
      </c>
    </row>
    <row r="8" spans="1:20">
      <c r="A8" s="64" t="s">
        <v>177</v>
      </c>
      <c r="B8" s="7" t="s">
        <v>93</v>
      </c>
      <c r="C8" s="7"/>
      <c r="D8" s="7"/>
      <c r="E8" s="7"/>
      <c r="F8" s="7"/>
      <c r="G8" s="7"/>
      <c r="H8" s="7" t="s">
        <v>529</v>
      </c>
      <c r="I8" s="7"/>
      <c r="J8" s="13"/>
      <c r="K8" s="7" t="s">
        <v>17</v>
      </c>
      <c r="L8" s="7" t="s">
        <v>17</v>
      </c>
      <c r="M8" s="7" t="s">
        <v>15</v>
      </c>
      <c r="N8" s="7" t="s">
        <v>17</v>
      </c>
      <c r="O8" s="7" t="s">
        <v>17</v>
      </c>
      <c r="P8" s="7" t="s">
        <v>530</v>
      </c>
      <c r="Q8" s="116" t="s">
        <v>7</v>
      </c>
      <c r="R8" s="164" t="s">
        <v>7</v>
      </c>
      <c r="S8" s="164" t="s">
        <v>9</v>
      </c>
      <c r="T8" s="164" t="s">
        <v>9</v>
      </c>
    </row>
    <row r="9" spans="1:20">
      <c r="A9" s="64" t="s">
        <v>211</v>
      </c>
      <c r="B9" s="7" t="s">
        <v>93</v>
      </c>
      <c r="C9" s="7"/>
      <c r="D9" s="7"/>
      <c r="E9" s="7"/>
      <c r="F9" s="7"/>
      <c r="G9" s="7"/>
      <c r="H9" s="7" t="s">
        <v>529</v>
      </c>
      <c r="I9" s="7"/>
      <c r="J9" s="13"/>
      <c r="K9" s="7" t="s">
        <v>17</v>
      </c>
      <c r="L9" s="7" t="s">
        <v>17</v>
      </c>
      <c r="M9" s="7" t="s">
        <v>15</v>
      </c>
      <c r="N9" s="7" t="s">
        <v>17</v>
      </c>
      <c r="O9" s="7" t="s">
        <v>17</v>
      </c>
      <c r="P9" s="7" t="s">
        <v>531</v>
      </c>
      <c r="Q9" s="116" t="s">
        <v>7</v>
      </c>
      <c r="R9" s="164" t="s">
        <v>7</v>
      </c>
      <c r="S9" s="164" t="s">
        <v>7</v>
      </c>
      <c r="T9" s="164" t="s">
        <v>9</v>
      </c>
    </row>
    <row r="10" spans="1:20">
      <c r="A10" s="64" t="s">
        <v>532</v>
      </c>
      <c r="B10" s="7" t="s">
        <v>80</v>
      </c>
      <c r="C10" s="7">
        <v>0</v>
      </c>
      <c r="D10" s="7">
        <v>500</v>
      </c>
      <c r="E10" s="7"/>
      <c r="F10" s="7"/>
      <c r="G10" s="7"/>
      <c r="H10" s="7"/>
      <c r="I10" s="7"/>
      <c r="J10" s="13"/>
      <c r="K10" s="7" t="s">
        <v>17</v>
      </c>
      <c r="L10" s="7" t="s">
        <v>17</v>
      </c>
      <c r="M10" s="7" t="s">
        <v>17</v>
      </c>
      <c r="N10" s="7" t="s">
        <v>17</v>
      </c>
      <c r="O10" s="7" t="s">
        <v>17</v>
      </c>
      <c r="P10" s="7" t="s">
        <v>533</v>
      </c>
      <c r="Q10" s="116" t="s">
        <v>9</v>
      </c>
      <c r="R10" s="164" t="s">
        <v>9</v>
      </c>
      <c r="S10" s="164" t="s">
        <v>9</v>
      </c>
      <c r="T10" s="164" t="s">
        <v>7</v>
      </c>
    </row>
    <row r="11" spans="1:20" ht="41.25" customHeight="1">
      <c r="A11" s="64" t="s">
        <v>380</v>
      </c>
      <c r="B11" s="147" t="s">
        <v>76</v>
      </c>
      <c r="C11" s="7"/>
      <c r="D11" s="7"/>
      <c r="E11" s="7"/>
      <c r="F11" s="7"/>
      <c r="G11" s="7"/>
      <c r="H11" s="7" t="s">
        <v>522</v>
      </c>
      <c r="I11" s="7" t="s">
        <v>534</v>
      </c>
      <c r="J11" s="13"/>
      <c r="K11" s="7" t="s">
        <v>15</v>
      </c>
      <c r="L11" s="7" t="s">
        <v>15</v>
      </c>
      <c r="M11" s="7" t="s">
        <v>15</v>
      </c>
      <c r="N11" s="7" t="s">
        <v>17</v>
      </c>
      <c r="O11" s="7" t="s">
        <v>17</v>
      </c>
      <c r="P11" s="7" t="s">
        <v>535</v>
      </c>
      <c r="Q11" s="116" t="s">
        <v>7</v>
      </c>
      <c r="R11" s="164" t="s">
        <v>7</v>
      </c>
      <c r="S11" s="164" t="s">
        <v>7</v>
      </c>
      <c r="T11" s="164" t="s">
        <v>9</v>
      </c>
    </row>
    <row r="13" spans="1:20">
      <c r="A13" s="281" t="s">
        <v>99</v>
      </c>
      <c r="B13" s="282"/>
      <c r="C13" s="283"/>
    </row>
    <row r="14" spans="1:20">
      <c r="A14" s="65" t="s">
        <v>100</v>
      </c>
      <c r="B14" s="61" t="s">
        <v>2</v>
      </c>
      <c r="C14" s="69" t="s">
        <v>101</v>
      </c>
    </row>
    <row r="15" spans="1:20">
      <c r="A15" s="285" t="s">
        <v>102</v>
      </c>
      <c r="B15" s="287" t="s">
        <v>536</v>
      </c>
      <c r="C15" s="70" t="str">
        <f>A6</f>
        <v>asignacionVariable</v>
      </c>
    </row>
    <row r="16" spans="1:20" ht="54.75" customHeight="1">
      <c r="A16" s="286"/>
      <c r="B16" s="288"/>
      <c r="C16" s="70" t="str">
        <f>A7</f>
        <v>numeroSesion</v>
      </c>
    </row>
    <row r="18" spans="1:18">
      <c r="A18" s="251" t="s">
        <v>106</v>
      </c>
      <c r="B18" s="252"/>
      <c r="C18" s="252" t="s">
        <v>2</v>
      </c>
      <c r="D18" s="252"/>
      <c r="E18" s="252"/>
      <c r="F18" s="252"/>
      <c r="G18" s="252" t="s">
        <v>107</v>
      </c>
      <c r="H18" s="252"/>
      <c r="I18" s="252"/>
      <c r="J18" s="252" t="s">
        <v>108</v>
      </c>
      <c r="K18" s="252"/>
      <c r="L18" s="252"/>
      <c r="M18" s="252"/>
      <c r="N18" s="252"/>
      <c r="O18" s="252" t="s">
        <v>109</v>
      </c>
      <c r="P18" s="252"/>
      <c r="Q18" s="252" t="s">
        <v>185</v>
      </c>
      <c r="R18" s="257"/>
    </row>
    <row r="19" spans="1:18">
      <c r="A19" s="253"/>
      <c r="B19" s="254"/>
      <c r="C19" s="254"/>
      <c r="D19" s="254"/>
      <c r="E19" s="254"/>
      <c r="F19" s="254"/>
      <c r="G19" s="76" t="s">
        <v>110</v>
      </c>
      <c r="H19" s="76" t="s">
        <v>111</v>
      </c>
      <c r="I19" s="76" t="s">
        <v>2</v>
      </c>
      <c r="J19" s="76" t="s">
        <v>61</v>
      </c>
      <c r="K19" s="254" t="s">
        <v>2</v>
      </c>
      <c r="L19" s="254"/>
      <c r="M19" s="254"/>
      <c r="N19" s="254"/>
      <c r="O19" s="76" t="s">
        <v>112</v>
      </c>
      <c r="P19" s="76" t="s">
        <v>2</v>
      </c>
      <c r="Q19" s="76" t="s">
        <v>113</v>
      </c>
      <c r="R19" s="100" t="s">
        <v>114</v>
      </c>
    </row>
    <row r="20" spans="1:18" ht="29.25" customHeight="1">
      <c r="A20" s="238" t="s">
        <v>537</v>
      </c>
      <c r="B20" s="238"/>
      <c r="C20" s="237" t="s">
        <v>538</v>
      </c>
      <c r="D20" s="237"/>
      <c r="E20" s="237"/>
      <c r="F20" s="237"/>
      <c r="G20" s="120" t="s">
        <v>385</v>
      </c>
      <c r="H20" s="120" t="s">
        <v>80</v>
      </c>
      <c r="I20" s="120" t="s">
        <v>430</v>
      </c>
      <c r="J20" s="322" t="s">
        <v>119</v>
      </c>
      <c r="K20" s="237" t="s">
        <v>539</v>
      </c>
      <c r="L20" s="237"/>
      <c r="M20" s="237"/>
      <c r="N20" s="237"/>
      <c r="O20" s="163" t="s">
        <v>540</v>
      </c>
      <c r="P20" s="120" t="s">
        <v>541</v>
      </c>
      <c r="Q20" s="120" t="s">
        <v>368</v>
      </c>
      <c r="R20" s="120" t="s">
        <v>542</v>
      </c>
    </row>
    <row r="21" spans="1:18" ht="30.75">
      <c r="A21" s="238"/>
      <c r="B21" s="238"/>
      <c r="C21" s="237"/>
      <c r="D21" s="237"/>
      <c r="E21" s="237"/>
      <c r="F21" s="237"/>
      <c r="G21" s="120" t="s">
        <v>391</v>
      </c>
      <c r="H21" s="120" t="s">
        <v>80</v>
      </c>
      <c r="I21" s="120" t="s">
        <v>135</v>
      </c>
      <c r="J21" s="322"/>
      <c r="K21" s="237"/>
      <c r="L21" s="237"/>
      <c r="M21" s="237"/>
      <c r="N21" s="237"/>
      <c r="O21" s="163" t="s">
        <v>543</v>
      </c>
      <c r="P21" s="120" t="s">
        <v>544</v>
      </c>
      <c r="Q21" s="120" t="s">
        <v>545</v>
      </c>
      <c r="R21" s="120" t="s">
        <v>233</v>
      </c>
    </row>
    <row r="22" spans="1:18" ht="30.75" customHeight="1">
      <c r="A22" s="238"/>
      <c r="B22" s="238"/>
      <c r="C22" s="237"/>
      <c r="D22" s="237"/>
      <c r="E22" s="237"/>
      <c r="F22" s="237"/>
      <c r="G22" s="120" t="s">
        <v>546</v>
      </c>
      <c r="H22" s="120" t="s">
        <v>80</v>
      </c>
      <c r="I22" s="120" t="s">
        <v>547</v>
      </c>
      <c r="J22" s="322"/>
      <c r="K22" s="237"/>
      <c r="L22" s="237"/>
      <c r="M22" s="237"/>
      <c r="N22" s="237"/>
      <c r="O22" s="163" t="s">
        <v>548</v>
      </c>
      <c r="P22" s="120" t="s">
        <v>549</v>
      </c>
      <c r="Q22" s="120" t="s">
        <v>550</v>
      </c>
      <c r="R22" s="120" t="s">
        <v>228</v>
      </c>
    </row>
    <row r="23" spans="1:18" ht="27" customHeight="1">
      <c r="A23" s="238"/>
      <c r="B23" s="238"/>
      <c r="C23" s="237"/>
      <c r="D23" s="237"/>
      <c r="E23" s="237"/>
      <c r="F23" s="237"/>
      <c r="G23" s="120" t="s">
        <v>177</v>
      </c>
      <c r="H23" s="120" t="s">
        <v>93</v>
      </c>
      <c r="I23" s="120" t="s">
        <v>551</v>
      </c>
      <c r="J23" s="322"/>
      <c r="K23" s="237"/>
      <c r="L23" s="237"/>
      <c r="M23" s="237"/>
      <c r="N23" s="237"/>
      <c r="O23" s="163" t="s">
        <v>552</v>
      </c>
      <c r="P23" s="120" t="s">
        <v>553</v>
      </c>
      <c r="Q23" s="120" t="s">
        <v>236</v>
      </c>
      <c r="R23" s="120" t="s">
        <v>237</v>
      </c>
    </row>
    <row r="24" spans="1:18" ht="45.75" customHeight="1">
      <c r="A24" s="238" t="s">
        <v>554</v>
      </c>
      <c r="B24" s="238"/>
      <c r="C24" s="237" t="s">
        <v>555</v>
      </c>
      <c r="D24" s="237"/>
      <c r="E24" s="237"/>
      <c r="F24" s="237"/>
      <c r="G24" s="237" t="s">
        <v>437</v>
      </c>
      <c r="H24" s="237" t="s">
        <v>76</v>
      </c>
      <c r="I24" s="237" t="s">
        <v>556</v>
      </c>
      <c r="J24" s="322" t="s">
        <v>119</v>
      </c>
      <c r="K24" s="237" t="s">
        <v>557</v>
      </c>
      <c r="L24" s="237"/>
      <c r="M24" s="237"/>
      <c r="N24" s="237"/>
      <c r="O24" s="163" t="s">
        <v>558</v>
      </c>
      <c r="P24" s="120" t="s">
        <v>559</v>
      </c>
      <c r="Q24" s="120" t="s">
        <v>444</v>
      </c>
      <c r="R24" s="120" t="s">
        <v>445</v>
      </c>
    </row>
    <row r="25" spans="1:18" ht="45.75">
      <c r="A25" s="238"/>
      <c r="B25" s="238"/>
      <c r="C25" s="237"/>
      <c r="D25" s="237"/>
      <c r="E25" s="237"/>
      <c r="F25" s="237"/>
      <c r="G25" s="237"/>
      <c r="H25" s="237"/>
      <c r="I25" s="237"/>
      <c r="J25" s="322"/>
      <c r="K25" s="237"/>
      <c r="L25" s="237"/>
      <c r="M25" s="237"/>
      <c r="N25" s="237"/>
      <c r="O25" s="163" t="s">
        <v>560</v>
      </c>
      <c r="P25" s="120" t="s">
        <v>561</v>
      </c>
      <c r="Q25" s="120" t="s">
        <v>236</v>
      </c>
      <c r="R25" s="120" t="s">
        <v>562</v>
      </c>
    </row>
    <row r="26" spans="1:18" ht="45.75" customHeight="1">
      <c r="A26" s="234" t="s">
        <v>435</v>
      </c>
      <c r="B26" s="229"/>
      <c r="C26" s="307" t="s">
        <v>436</v>
      </c>
      <c r="D26" s="308"/>
      <c r="E26" s="308"/>
      <c r="F26" s="309"/>
      <c r="G26" s="120" t="s">
        <v>437</v>
      </c>
      <c r="H26" s="120" t="s">
        <v>76</v>
      </c>
      <c r="I26" s="120" t="s">
        <v>438</v>
      </c>
      <c r="J26" s="322" t="s">
        <v>119</v>
      </c>
      <c r="K26" s="237" t="s">
        <v>439</v>
      </c>
      <c r="L26" s="237"/>
      <c r="M26" s="237"/>
      <c r="N26" s="237"/>
      <c r="O26" s="163" t="s">
        <v>563</v>
      </c>
      <c r="P26" s="120" t="s">
        <v>564</v>
      </c>
      <c r="Q26" s="120" t="s">
        <v>444</v>
      </c>
      <c r="R26" s="120" t="s">
        <v>445</v>
      </c>
    </row>
    <row r="27" spans="1:18" ht="30.75" customHeight="1">
      <c r="A27" s="235"/>
      <c r="B27" s="231"/>
      <c r="C27" s="310"/>
      <c r="D27" s="311"/>
      <c r="E27" s="311"/>
      <c r="F27" s="312"/>
      <c r="G27" s="120" t="s">
        <v>440</v>
      </c>
      <c r="H27" s="120" t="s">
        <v>471</v>
      </c>
      <c r="I27" s="120" t="s">
        <v>441</v>
      </c>
      <c r="J27" s="322"/>
      <c r="K27" s="237"/>
      <c r="L27" s="237"/>
      <c r="M27" s="237"/>
      <c r="N27" s="237"/>
      <c r="O27" s="163" t="s">
        <v>565</v>
      </c>
      <c r="P27" s="120" t="s">
        <v>566</v>
      </c>
      <c r="Q27" s="120" t="s">
        <v>138</v>
      </c>
      <c r="R27" s="120" t="s">
        <v>233</v>
      </c>
    </row>
    <row r="28" spans="1:18" ht="25.5" customHeight="1">
      <c r="A28" s="236"/>
      <c r="B28" s="233"/>
      <c r="C28" s="313"/>
      <c r="D28" s="314"/>
      <c r="E28" s="314"/>
      <c r="F28" s="315"/>
      <c r="G28" s="120" t="s">
        <v>446</v>
      </c>
      <c r="H28" s="120" t="s">
        <v>471</v>
      </c>
      <c r="I28" s="120" t="s">
        <v>447</v>
      </c>
      <c r="J28" s="322"/>
      <c r="K28" s="237"/>
      <c r="L28" s="237"/>
      <c r="M28" s="237"/>
      <c r="N28" s="237"/>
      <c r="O28" s="163" t="s">
        <v>567</v>
      </c>
      <c r="P28" s="120" t="s">
        <v>568</v>
      </c>
      <c r="Q28" s="120" t="s">
        <v>236</v>
      </c>
      <c r="R28" s="120" t="s">
        <v>237</v>
      </c>
    </row>
    <row r="29" spans="1:18" ht="30.75" customHeight="1">
      <c r="A29" s="238" t="s">
        <v>569</v>
      </c>
      <c r="B29" s="238"/>
      <c r="C29" s="237" t="s">
        <v>570</v>
      </c>
      <c r="D29" s="237"/>
      <c r="E29" s="237"/>
      <c r="F29" s="237"/>
      <c r="G29" s="120" t="s">
        <v>437</v>
      </c>
      <c r="H29" s="120" t="s">
        <v>76</v>
      </c>
      <c r="I29" s="120" t="s">
        <v>571</v>
      </c>
      <c r="J29" s="322" t="s">
        <v>119</v>
      </c>
      <c r="K29" s="237" t="s">
        <v>170</v>
      </c>
      <c r="L29" s="237"/>
      <c r="M29" s="237"/>
      <c r="N29" s="237"/>
      <c r="O29" s="163" t="s">
        <v>540</v>
      </c>
      <c r="P29" s="120" t="s">
        <v>541</v>
      </c>
      <c r="Q29" s="120" t="s">
        <v>368</v>
      </c>
      <c r="R29" s="120" t="s">
        <v>542</v>
      </c>
    </row>
    <row r="30" spans="1:18" ht="30" customHeight="1">
      <c r="A30" s="238"/>
      <c r="B30" s="238"/>
      <c r="C30" s="237"/>
      <c r="D30" s="237"/>
      <c r="E30" s="237"/>
      <c r="F30" s="237"/>
      <c r="G30" s="237" t="s">
        <v>572</v>
      </c>
      <c r="H30" s="237" t="s">
        <v>80</v>
      </c>
      <c r="I30" s="237" t="s">
        <v>573</v>
      </c>
      <c r="J30" s="322"/>
      <c r="K30" s="237"/>
      <c r="L30" s="237"/>
      <c r="M30" s="237"/>
      <c r="N30" s="237"/>
      <c r="O30" s="237" t="s">
        <v>574</v>
      </c>
      <c r="P30" s="237" t="s">
        <v>575</v>
      </c>
      <c r="Q30" s="120" t="s">
        <v>576</v>
      </c>
      <c r="R30" s="120" t="s">
        <v>233</v>
      </c>
    </row>
    <row r="31" spans="1:18" ht="31.5" customHeight="1">
      <c r="A31" s="238"/>
      <c r="B31" s="238"/>
      <c r="C31" s="237"/>
      <c r="D31" s="237"/>
      <c r="E31" s="237"/>
      <c r="F31" s="237"/>
      <c r="G31" s="237"/>
      <c r="H31" s="237"/>
      <c r="I31" s="237"/>
      <c r="J31" s="322"/>
      <c r="K31" s="237"/>
      <c r="L31" s="237"/>
      <c r="M31" s="237"/>
      <c r="N31" s="237"/>
      <c r="O31" s="237"/>
      <c r="P31" s="237"/>
      <c r="Q31" s="120" t="s">
        <v>577</v>
      </c>
      <c r="R31" s="120" t="s">
        <v>228</v>
      </c>
    </row>
    <row r="32" spans="1:18" ht="30.75" customHeight="1">
      <c r="A32" s="238"/>
      <c r="B32" s="238"/>
      <c r="C32" s="237"/>
      <c r="D32" s="237"/>
      <c r="E32" s="237"/>
      <c r="F32" s="237"/>
      <c r="G32" s="237"/>
      <c r="H32" s="237"/>
      <c r="I32" s="237"/>
      <c r="J32" s="322"/>
      <c r="K32" s="237"/>
      <c r="L32" s="237"/>
      <c r="M32" s="237"/>
      <c r="N32" s="237"/>
      <c r="O32" s="237"/>
      <c r="P32" s="237"/>
      <c r="Q32" s="120" t="s">
        <v>236</v>
      </c>
      <c r="R32" s="120" t="s">
        <v>237</v>
      </c>
    </row>
    <row r="33" ht="30.7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</sheetData>
  <mergeCells count="37">
    <mergeCell ref="A1:P1"/>
    <mergeCell ref="B2:P2"/>
    <mergeCell ref="B3:P3"/>
    <mergeCell ref="A13:C13"/>
    <mergeCell ref="A18:B19"/>
    <mergeCell ref="C18:F19"/>
    <mergeCell ref="G18:I18"/>
    <mergeCell ref="J18:N18"/>
    <mergeCell ref="O18:P18"/>
    <mergeCell ref="A15:A16"/>
    <mergeCell ref="B15:B16"/>
    <mergeCell ref="J24:J25"/>
    <mergeCell ref="I24:I25"/>
    <mergeCell ref="H24:H25"/>
    <mergeCell ref="Q18:R18"/>
    <mergeCell ref="K19:N19"/>
    <mergeCell ref="K20:N23"/>
    <mergeCell ref="J20:J23"/>
    <mergeCell ref="C20:F23"/>
    <mergeCell ref="A20:B23"/>
    <mergeCell ref="H30:H32"/>
    <mergeCell ref="G30:G32"/>
    <mergeCell ref="C29:F32"/>
    <mergeCell ref="A29:B32"/>
    <mergeCell ref="J26:J28"/>
    <mergeCell ref="K26:N28"/>
    <mergeCell ref="G24:G25"/>
    <mergeCell ref="C24:F25"/>
    <mergeCell ref="A24:B25"/>
    <mergeCell ref="A26:B28"/>
    <mergeCell ref="C26:F28"/>
    <mergeCell ref="K24:N25"/>
    <mergeCell ref="P30:P32"/>
    <mergeCell ref="O30:O32"/>
    <mergeCell ref="K29:N32"/>
    <mergeCell ref="J29:J32"/>
    <mergeCell ref="I30:I32"/>
  </mergeCells>
  <dataValidations count="1">
    <dataValidation type="list" allowBlank="1" showInputMessage="1" showErrorMessage="1" sqref="K5:O11" xr:uid="{F4EA07E8-60AA-4E36-BCC1-A96B862242C0}">
      <formula1>"Si, No"</formula1>
    </dataValidation>
  </dataValidations>
  <hyperlinks>
    <hyperlink ref="A1" location="'Objetos de Dominio'!A1" display="Volver al inicio" xr:uid="{E60A3F60-3E5E-4991-8123-EDCD479FDDEB}"/>
    <hyperlink ref="R4" location="'Sesion Entrenamiento'!A24" display="=A24" xr:uid="{17757503-8A7C-4FED-B0CA-F211E2B89974}"/>
    <hyperlink ref="T4" location="'Sesion Entrenamiento'!A29" display="=A29" xr:uid="{CF2D7783-57C2-40F6-B8AD-4D2C6D90BC38}"/>
    <hyperlink ref="Q4" location="'Sesion Entrenamiento'!A20" display="=A20" xr:uid="{1F664D1A-2FBC-4DC5-BAB5-C1DABD47AFBA}"/>
    <hyperlink ref="A1:P1" location="'Listado Objetos de Dominio'!A1" display="&lt;-Volver al inicio" xr:uid="{B3F4A6D5-AB74-4756-A3B5-026D912DFE6F}"/>
    <hyperlink ref="S4" location="'Sesion Entrenamiento'!A26" display="=A26" xr:uid="{BE858278-12B5-4BC6-A3FA-BBBD8ABAEBFA}"/>
    <hyperlink ref="B11" location="'estado'!A1" display="UUID" xr:uid="{6796D441-81D7-4933-AFA0-6E928864BFC3}"/>
    <hyperlink ref="B6" location="'Asignación Variable Cognitiva'!A1" display="UUID" xr:uid="{A0F42A53-DFE0-497E-AE34-1A207798EDB5}"/>
    <hyperlink ref="C15" location="'Sesion Entrenamiento'!A6" display="=A6" xr:uid="{4B7DB2C4-3641-44D4-9B4A-0CAEE7F2D126}"/>
    <hyperlink ref="C16" location="'Sesion Entrenamiento'!A7" display="=A7" xr:uid="{CA9B1628-7212-4C7B-9336-84669D272A04}"/>
    <hyperlink ref="A20:B23" location="'Sesion Entrenamiento'!Q4" display="Crear Sesión" xr:uid="{D6CC71E8-EC01-4966-AE73-15080D1230FC}"/>
    <hyperlink ref="A24:B25" location="'Sesion Entrenamiento'!R4" display="Iniciar Sesión" xr:uid="{A8EA2FB6-4AF1-4B19-BB53-6CAB11AAA50C}"/>
    <hyperlink ref="A26:B28" location="'Sesion Entrenamiento'!S4" display="Finalizar Sesión" xr:uid="{4A293DCE-29CB-414D-955A-9C9DAF23BFA1}"/>
    <hyperlink ref="A29:B32" location="'Sesion Entrenamiento'!T4" display="Actualizar Observación" xr:uid="{E0317D01-8ED9-40D6-BF0C-1BD8D7B9D599}"/>
  </hyperlink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7E9F434-17D4-4101-B030-328523AC23DF}">
          <x14:formula1>
            <xm:f>Valores!$A$3:$A$10</xm:f>
          </x14:formula1>
          <xm:sqref>Q5:T11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6CCC6-BFFF-4D20-A840-29854398FB90}">
  <dimension ref="A1:R23"/>
  <sheetViews>
    <sheetView workbookViewId="0">
      <selection activeCell="Q12" sqref="Q12"/>
    </sheetView>
  </sheetViews>
  <sheetFormatPr defaultColWidth="11.42578125" defaultRowHeight="15"/>
  <cols>
    <col min="1" max="1" width="23.85546875" style="57" bestFit="1" customWidth="1"/>
    <col min="2" max="2" width="20.5703125" style="57" customWidth="1"/>
    <col min="3" max="3" width="18.7109375" style="57" bestFit="1" customWidth="1"/>
    <col min="4" max="4" width="18.85546875" style="57" bestFit="1" customWidth="1"/>
    <col min="5" max="5" width="11.5703125" style="57" bestFit="1" customWidth="1"/>
    <col min="6" max="6" width="15.28515625" style="57" bestFit="1" customWidth="1"/>
    <col min="7" max="7" width="28.5703125" style="57" bestFit="1" customWidth="1"/>
    <col min="8" max="8" width="33.28515625" style="57" customWidth="1"/>
    <col min="9" max="9" width="79.28515625" style="57" bestFit="1" customWidth="1"/>
    <col min="10" max="10" width="18.140625" style="57" bestFit="1" customWidth="1"/>
    <col min="11" max="11" width="19.28515625" style="57" bestFit="1" customWidth="1"/>
    <col min="12" max="12" width="14.42578125" style="57" bestFit="1" customWidth="1"/>
    <col min="13" max="13" width="15.7109375" style="57" bestFit="1" customWidth="1"/>
    <col min="14" max="14" width="12.85546875" style="57" bestFit="1" customWidth="1"/>
    <col min="15" max="15" width="36.5703125" style="57" bestFit="1" customWidth="1"/>
    <col min="16" max="16" width="94.42578125" style="57" bestFit="1" customWidth="1"/>
    <col min="17" max="17" width="31" style="57" customWidth="1"/>
    <col min="18" max="18" width="50.7109375" style="57" customWidth="1"/>
    <col min="19" max="19" width="52.28515625" style="57" bestFit="1" customWidth="1"/>
    <col min="20" max="16384" width="11.42578125" style="57"/>
  </cols>
  <sheetData>
    <row r="1" spans="1:18">
      <c r="A1" s="245" t="s">
        <v>57</v>
      </c>
      <c r="B1" s="245"/>
      <c r="C1" s="245"/>
      <c r="D1" s="245"/>
      <c r="E1" s="245"/>
      <c r="F1" s="245"/>
      <c r="G1" s="245"/>
      <c r="H1" s="245"/>
      <c r="I1" s="245"/>
      <c r="J1" s="245"/>
      <c r="K1" s="245"/>
      <c r="L1" s="245"/>
      <c r="M1" s="245"/>
      <c r="N1" s="245"/>
      <c r="O1" s="245"/>
      <c r="P1" s="245"/>
    </row>
    <row r="2" spans="1:18">
      <c r="A2" s="62" t="s">
        <v>58</v>
      </c>
      <c r="B2" s="196" t="str">
        <f>'Listado Objetos de Dominio'!A12</f>
        <v>Variable Cognitiva</v>
      </c>
      <c r="C2" s="196"/>
      <c r="D2" s="196"/>
      <c r="E2" s="196"/>
      <c r="F2" s="196"/>
      <c r="G2" s="196"/>
      <c r="H2" s="196"/>
      <c r="I2" s="196"/>
      <c r="J2" s="196"/>
      <c r="K2" s="196"/>
      <c r="L2" s="196"/>
      <c r="M2" s="196"/>
      <c r="N2" s="196"/>
      <c r="O2" s="196"/>
      <c r="P2" s="196"/>
    </row>
    <row r="3" spans="1:18">
      <c r="A3" s="99" t="s">
        <v>59</v>
      </c>
      <c r="B3" s="331" t="str">
        <f>'Listado Objetos de Dominio'!B12</f>
        <v>Objeto de dominio que contiene las diferentes variables cognitivas de la aplicacion</v>
      </c>
      <c r="C3" s="331"/>
      <c r="D3" s="331"/>
      <c r="E3" s="331"/>
      <c r="F3" s="331"/>
      <c r="G3" s="331"/>
      <c r="H3" s="331"/>
      <c r="I3" s="331"/>
      <c r="J3" s="331"/>
      <c r="K3" s="331"/>
      <c r="L3" s="331"/>
      <c r="M3" s="331"/>
      <c r="N3" s="331"/>
      <c r="O3" s="331"/>
      <c r="P3" s="331"/>
    </row>
    <row r="4" spans="1:18">
      <c r="A4" s="92" t="s">
        <v>60</v>
      </c>
      <c r="B4" s="92" t="s">
        <v>61</v>
      </c>
      <c r="C4" s="92" t="s">
        <v>62</v>
      </c>
      <c r="D4" s="92" t="s">
        <v>63</v>
      </c>
      <c r="E4" s="92" t="s">
        <v>64</v>
      </c>
      <c r="F4" s="92" t="s">
        <v>65</v>
      </c>
      <c r="G4" s="92" t="s">
        <v>66</v>
      </c>
      <c r="H4" s="92" t="s">
        <v>67</v>
      </c>
      <c r="I4" s="92" t="s">
        <v>68</v>
      </c>
      <c r="J4" s="92" t="s">
        <v>69</v>
      </c>
      <c r="K4" s="92" t="s">
        <v>70</v>
      </c>
      <c r="L4" s="92" t="s">
        <v>71</v>
      </c>
      <c r="M4" s="92" t="s">
        <v>72</v>
      </c>
      <c r="N4" s="92" t="s">
        <v>73</v>
      </c>
      <c r="O4" s="92" t="s">
        <v>74</v>
      </c>
      <c r="P4" s="92" t="s">
        <v>2</v>
      </c>
      <c r="Q4" s="167" t="str">
        <f>A17</f>
        <v>Listar Variables</v>
      </c>
    </row>
    <row r="5" spans="1:18" ht="33.75" customHeight="1">
      <c r="A5" s="52" t="s">
        <v>578</v>
      </c>
      <c r="B5" s="52" t="s">
        <v>76</v>
      </c>
      <c r="C5" s="52">
        <v>36</v>
      </c>
      <c r="D5" s="52">
        <v>36</v>
      </c>
      <c r="E5" s="52"/>
      <c r="F5" s="52"/>
      <c r="G5" s="52"/>
      <c r="H5" s="52" t="s">
        <v>77</v>
      </c>
      <c r="I5" s="52"/>
      <c r="J5" s="93" t="s">
        <v>579</v>
      </c>
      <c r="K5" s="98" t="s">
        <v>15</v>
      </c>
      <c r="L5" s="98" t="s">
        <v>17</v>
      </c>
      <c r="M5" s="98" t="s">
        <v>15</v>
      </c>
      <c r="N5" s="98" t="s">
        <v>15</v>
      </c>
      <c r="O5" s="98" t="s">
        <v>15</v>
      </c>
      <c r="P5" s="52" t="s">
        <v>375</v>
      </c>
      <c r="Q5" s="97" t="s">
        <v>13</v>
      </c>
    </row>
    <row r="6" spans="1:18" ht="31.5" customHeight="1">
      <c r="A6" s="52" t="s">
        <v>79</v>
      </c>
      <c r="B6" s="52" t="s">
        <v>80</v>
      </c>
      <c r="C6" s="52">
        <v>5</v>
      </c>
      <c r="D6" s="52">
        <v>20</v>
      </c>
      <c r="E6" s="52"/>
      <c r="F6" s="52"/>
      <c r="G6" s="52"/>
      <c r="H6" s="52" t="s">
        <v>81</v>
      </c>
      <c r="I6" s="52"/>
      <c r="J6" s="93" t="s">
        <v>579</v>
      </c>
      <c r="K6" s="98" t="s">
        <v>17</v>
      </c>
      <c r="L6" s="98" t="s">
        <v>17</v>
      </c>
      <c r="M6" s="98" t="s">
        <v>15</v>
      </c>
      <c r="N6" s="98" t="s">
        <v>17</v>
      </c>
      <c r="O6" s="98" t="s">
        <v>17</v>
      </c>
      <c r="P6" s="52" t="s">
        <v>580</v>
      </c>
      <c r="Q6" s="97" t="s">
        <v>13</v>
      </c>
    </row>
    <row r="7" spans="1:18" ht="27">
      <c r="A7" s="52" t="s">
        <v>581</v>
      </c>
      <c r="B7" s="52" t="s">
        <v>80</v>
      </c>
      <c r="C7" s="52">
        <v>5</v>
      </c>
      <c r="D7" s="52">
        <v>50</v>
      </c>
      <c r="E7" s="52"/>
      <c r="F7" s="52"/>
      <c r="G7" s="52"/>
      <c r="H7" s="52" t="s">
        <v>81</v>
      </c>
      <c r="I7" s="52"/>
      <c r="J7" s="93" t="s">
        <v>582</v>
      </c>
      <c r="K7" s="98" t="s">
        <v>17</v>
      </c>
      <c r="L7" s="98" t="s">
        <v>17</v>
      </c>
      <c r="M7" s="98" t="s">
        <v>15</v>
      </c>
      <c r="N7" s="98" t="s">
        <v>17</v>
      </c>
      <c r="O7" s="98" t="s">
        <v>17</v>
      </c>
      <c r="P7" s="52" t="s">
        <v>583</v>
      </c>
      <c r="Q7" s="97" t="s">
        <v>13</v>
      </c>
    </row>
    <row r="8" spans="1:18" ht="31.5" customHeight="1">
      <c r="A8" s="52" t="s">
        <v>380</v>
      </c>
      <c r="B8" s="144" t="s">
        <v>80</v>
      </c>
      <c r="C8" s="52"/>
      <c r="D8" s="52"/>
      <c r="E8" s="52"/>
      <c r="F8" s="52"/>
      <c r="G8" s="52"/>
      <c r="H8" s="52" t="s">
        <v>77</v>
      </c>
      <c r="I8" s="52" t="s">
        <v>584</v>
      </c>
      <c r="J8" s="93"/>
      <c r="K8" s="98" t="s">
        <v>17</v>
      </c>
      <c r="L8" s="98" t="s">
        <v>17</v>
      </c>
      <c r="M8" s="98" t="s">
        <v>15</v>
      </c>
      <c r="N8" s="98" t="s">
        <v>15</v>
      </c>
      <c r="O8" s="98" t="s">
        <v>17</v>
      </c>
      <c r="P8" s="52" t="s">
        <v>585</v>
      </c>
      <c r="Q8" s="97" t="s">
        <v>13</v>
      </c>
    </row>
    <row r="10" spans="1:18">
      <c r="A10" s="281" t="s">
        <v>99</v>
      </c>
      <c r="B10" s="282"/>
      <c r="C10" s="283"/>
    </row>
    <row r="11" spans="1:18">
      <c r="A11" s="65" t="s">
        <v>100</v>
      </c>
      <c r="B11" s="61" t="s">
        <v>2</v>
      </c>
      <c r="C11" s="69" t="s">
        <v>101</v>
      </c>
    </row>
    <row r="12" spans="1:18" ht="40.5">
      <c r="A12" s="66" t="s">
        <v>586</v>
      </c>
      <c r="B12" s="15" t="s">
        <v>587</v>
      </c>
      <c r="C12" s="70" t="str">
        <f>A6</f>
        <v>nombre</v>
      </c>
    </row>
    <row r="13" spans="1:18" ht="40.5">
      <c r="A13" s="66" t="s">
        <v>588</v>
      </c>
      <c r="B13" s="15" t="s">
        <v>589</v>
      </c>
      <c r="C13" s="70" t="str">
        <f>A7</f>
        <v>descripcion</v>
      </c>
    </row>
    <row r="15" spans="1:18">
      <c r="A15" s="332" t="s">
        <v>106</v>
      </c>
      <c r="B15" s="333"/>
      <c r="C15" s="333" t="s">
        <v>2</v>
      </c>
      <c r="D15" s="333"/>
      <c r="E15" s="333"/>
      <c r="F15" s="333"/>
      <c r="G15" s="333" t="s">
        <v>107</v>
      </c>
      <c r="H15" s="333"/>
      <c r="I15" s="333"/>
      <c r="J15" s="333" t="s">
        <v>108</v>
      </c>
      <c r="K15" s="333"/>
      <c r="L15" s="333"/>
      <c r="M15" s="333"/>
      <c r="N15" s="333"/>
      <c r="O15" s="333" t="s">
        <v>109</v>
      </c>
      <c r="P15" s="333"/>
      <c r="Q15" s="333" t="s">
        <v>185</v>
      </c>
      <c r="R15" s="337"/>
    </row>
    <row r="16" spans="1:18">
      <c r="A16" s="334"/>
      <c r="B16" s="254"/>
      <c r="C16" s="254"/>
      <c r="D16" s="254"/>
      <c r="E16" s="254"/>
      <c r="F16" s="254"/>
      <c r="G16" s="76" t="s">
        <v>110</v>
      </c>
      <c r="H16" s="76" t="s">
        <v>111</v>
      </c>
      <c r="I16" s="76" t="s">
        <v>2</v>
      </c>
      <c r="J16" s="76" t="s">
        <v>61</v>
      </c>
      <c r="K16" s="254" t="s">
        <v>2</v>
      </c>
      <c r="L16" s="254"/>
      <c r="M16" s="254"/>
      <c r="N16" s="254"/>
      <c r="O16" s="76" t="s">
        <v>112</v>
      </c>
      <c r="P16" s="76" t="s">
        <v>2</v>
      </c>
      <c r="Q16" s="76" t="s">
        <v>113</v>
      </c>
      <c r="R16" s="166" t="s">
        <v>114</v>
      </c>
    </row>
    <row r="17" spans="1:18" ht="48" customHeight="1">
      <c r="A17" s="338" t="s">
        <v>590</v>
      </c>
      <c r="B17" s="338"/>
      <c r="C17" s="336" t="s">
        <v>591</v>
      </c>
      <c r="D17" s="336"/>
      <c r="E17" s="336"/>
      <c r="F17" s="336"/>
      <c r="G17" s="336"/>
      <c r="H17" s="339"/>
      <c r="I17" s="336" t="s">
        <v>592</v>
      </c>
      <c r="J17" s="335" t="s">
        <v>119</v>
      </c>
      <c r="K17" s="336" t="s">
        <v>593</v>
      </c>
      <c r="L17" s="336"/>
      <c r="M17" s="336"/>
      <c r="N17" s="336"/>
      <c r="O17" s="58" t="s">
        <v>594</v>
      </c>
      <c r="P17" s="58" t="s">
        <v>595</v>
      </c>
      <c r="Q17" s="58" t="s">
        <v>500</v>
      </c>
      <c r="R17" s="58" t="s">
        <v>501</v>
      </c>
    </row>
    <row r="18" spans="1:18" ht="48" customHeight="1">
      <c r="A18" s="338"/>
      <c r="B18" s="338"/>
      <c r="C18" s="336"/>
      <c r="D18" s="336"/>
      <c r="E18" s="336"/>
      <c r="F18" s="336"/>
      <c r="G18" s="336"/>
      <c r="H18" s="339"/>
      <c r="I18" s="336"/>
      <c r="J18" s="335"/>
      <c r="K18" s="336"/>
      <c r="L18" s="336"/>
      <c r="M18" s="336"/>
      <c r="N18" s="336"/>
      <c r="O18" s="58" t="s">
        <v>596</v>
      </c>
      <c r="P18" s="58" t="s">
        <v>597</v>
      </c>
      <c r="Q18" s="58" t="s">
        <v>236</v>
      </c>
      <c r="R18" s="58" t="s">
        <v>237</v>
      </c>
    </row>
    <row r="19" spans="1:18">
      <c r="O19">
        <f>A23</f>
        <v>0</v>
      </c>
    </row>
    <row r="22" spans="1:18" ht="49.5" customHeight="1"/>
    <row r="23" spans="1:18" ht="48.75" customHeight="1"/>
  </sheetData>
  <mergeCells count="18">
    <mergeCell ref="J17:J18"/>
    <mergeCell ref="K17:N18"/>
    <mergeCell ref="Q15:R15"/>
    <mergeCell ref="K16:N16"/>
    <mergeCell ref="A17:B18"/>
    <mergeCell ref="C17:F18"/>
    <mergeCell ref="G17:G18"/>
    <mergeCell ref="H17:H18"/>
    <mergeCell ref="I17:I18"/>
    <mergeCell ref="A1:P1"/>
    <mergeCell ref="B2:P2"/>
    <mergeCell ref="B3:P3"/>
    <mergeCell ref="A10:C10"/>
    <mergeCell ref="A15:B16"/>
    <mergeCell ref="C15:F16"/>
    <mergeCell ref="G15:I15"/>
    <mergeCell ref="J15:N15"/>
    <mergeCell ref="O15:P15"/>
  </mergeCells>
  <dataValidations count="1">
    <dataValidation allowBlank="1" showInputMessage="1" showErrorMessage="1" sqref="B7:B8" xr:uid="{B46B0166-86C4-46A2-9A3F-ACBAF5845C62}"/>
  </dataValidations>
  <hyperlinks>
    <hyperlink ref="A1" location="'Objetos de Dominio'!A1" display="Volver al inicio" xr:uid="{868862E1-ED70-4EDC-864F-2125B61535A1}"/>
    <hyperlink ref="Q4" location="'Variable Cognitiva'!A17" display="=A17" xr:uid="{2FDAFC7B-1AB5-45B6-B73F-967620825460}"/>
    <hyperlink ref="A1:P1" location="'Listado Objetos de Dominio'!A1" display="&lt;-Volver al inicio" xr:uid="{0AE0F786-DC1B-477D-9070-2279ED363DD2}"/>
    <hyperlink ref="B8" location="'Estado'!A1" display="String" xr:uid="{7ABFEA26-03A2-4637-9027-DFC7C7821DD8}"/>
    <hyperlink ref="C12" location="'Variable Cognitiva'!A6" display="=A6" xr:uid="{3078C5DF-DA5A-4675-8703-9F50C70FA75C}"/>
    <hyperlink ref="C13" location="'Variable Cognitiva'!A7" display="=A7" xr:uid="{A69FDD97-F20A-4B7F-A76F-38697716B5BD}"/>
    <hyperlink ref="A17:B18" location="'Variable Cognitiva'!Q4" display="Listar Variables" xr:uid="{9CD24623-850B-47BF-9D95-46B883B99004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670F839F-0046-4E70-AB8D-0465046AFBAF}">
          <x14:formula1>
            <xm:f>Valores!$A$5:$A$10</xm:f>
          </x14:formula1>
          <xm:sqref>K5:O8</xm:sqref>
        </x14:dataValidation>
        <x14:dataValidation type="list" allowBlank="1" showInputMessage="1" showErrorMessage="1" xr:uid="{BA7C3BA6-EC15-4A69-B2FC-D997EF47149E}">
          <x14:formula1>
            <xm:f>Valores!$A$3:$A$10</xm:f>
          </x14:formula1>
          <xm:sqref>Q5:Q8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A3E29B-7F2E-4809-8D03-2AE57DBF4452}">
  <dimension ref="A1:R19"/>
  <sheetViews>
    <sheetView topLeftCell="A2" zoomScale="70" zoomScaleNormal="70" workbookViewId="0">
      <selection activeCell="H5" sqref="H5"/>
    </sheetView>
  </sheetViews>
  <sheetFormatPr defaultColWidth="11.42578125" defaultRowHeight="15"/>
  <cols>
    <col min="1" max="1" width="23.85546875" style="57" bestFit="1" customWidth="1"/>
    <col min="2" max="2" width="18.140625" style="57" customWidth="1"/>
    <col min="3" max="3" width="18.7109375" style="57" bestFit="1" customWidth="1"/>
    <col min="4" max="4" width="18.85546875" style="57" bestFit="1" customWidth="1"/>
    <col min="5" max="5" width="11.5703125" style="57" bestFit="1" customWidth="1"/>
    <col min="6" max="6" width="15.28515625" style="57" bestFit="1" customWidth="1"/>
    <col min="7" max="7" width="28.5703125" style="57" bestFit="1" customWidth="1"/>
    <col min="8" max="8" width="18.140625" style="57" customWidth="1"/>
    <col min="9" max="9" width="79.28515625" style="57" bestFit="1" customWidth="1"/>
    <col min="10" max="10" width="18.140625" style="57" bestFit="1" customWidth="1"/>
    <col min="11" max="11" width="19.28515625" style="57" bestFit="1" customWidth="1"/>
    <col min="12" max="12" width="14.42578125" style="57" bestFit="1" customWidth="1"/>
    <col min="13" max="13" width="15.7109375" style="57" bestFit="1" customWidth="1"/>
    <col min="14" max="14" width="12.85546875" style="57" bestFit="1" customWidth="1"/>
    <col min="15" max="15" width="25" style="57" bestFit="1" customWidth="1"/>
    <col min="16" max="16" width="94.42578125" style="57" bestFit="1" customWidth="1"/>
    <col min="17" max="17" width="61.5703125" style="57" customWidth="1"/>
    <col min="18" max="18" width="46.42578125" style="57" bestFit="1" customWidth="1"/>
    <col min="19" max="19" width="50.140625" style="57" bestFit="1" customWidth="1"/>
    <col min="20" max="20" width="52.28515625" style="57" bestFit="1" customWidth="1"/>
    <col min="21" max="16384" width="11.42578125" style="57"/>
  </cols>
  <sheetData>
    <row r="1" spans="1:18">
      <c r="A1" s="245" t="s">
        <v>57</v>
      </c>
      <c r="B1" s="245"/>
      <c r="C1" s="245"/>
      <c r="D1" s="245"/>
      <c r="E1" s="245"/>
      <c r="F1" s="245"/>
      <c r="G1" s="245"/>
      <c r="H1" s="245"/>
      <c r="I1" s="245"/>
      <c r="J1" s="245"/>
      <c r="K1" s="245"/>
      <c r="L1" s="245"/>
      <c r="M1" s="245"/>
      <c r="N1" s="245"/>
      <c r="O1" s="245"/>
      <c r="P1" s="245"/>
    </row>
    <row r="2" spans="1:18">
      <c r="A2" s="62" t="s">
        <v>58</v>
      </c>
      <c r="B2" s="196" t="str">
        <f>'Listado Objetos de Dominio'!A13</f>
        <v>Tipo Documento</v>
      </c>
      <c r="C2" s="196"/>
      <c r="D2" s="196"/>
      <c r="E2" s="196"/>
      <c r="F2" s="196"/>
      <c r="G2" s="196"/>
      <c r="H2" s="196"/>
      <c r="I2" s="196"/>
      <c r="J2" s="196"/>
      <c r="K2" s="196"/>
      <c r="L2" s="196"/>
      <c r="M2" s="196"/>
      <c r="N2" s="196"/>
      <c r="O2" s="196"/>
      <c r="P2" s="196"/>
    </row>
    <row r="3" spans="1:18">
      <c r="A3" s="62" t="s">
        <v>59</v>
      </c>
      <c r="B3" s="196" t="str">
        <f>'Listado Objetos de Dominio'!B13</f>
        <v>Objeto de dominio que contiene los diferentes documentos de identidad válidos</v>
      </c>
      <c r="C3" s="196"/>
      <c r="D3" s="196"/>
      <c r="E3" s="196"/>
      <c r="F3" s="196"/>
      <c r="G3" s="196"/>
      <c r="H3" s="196"/>
      <c r="I3" s="196"/>
      <c r="J3" s="196"/>
      <c r="K3" s="196"/>
      <c r="L3" s="196"/>
      <c r="M3" s="196"/>
      <c r="N3" s="196"/>
      <c r="O3" s="196"/>
      <c r="P3" s="196"/>
    </row>
    <row r="4" spans="1:18">
      <c r="A4" s="63" t="s">
        <v>60</v>
      </c>
      <c r="B4" s="10" t="s">
        <v>61</v>
      </c>
      <c r="C4" s="10" t="s">
        <v>62</v>
      </c>
      <c r="D4" s="10" t="s">
        <v>63</v>
      </c>
      <c r="E4" s="10" t="s">
        <v>64</v>
      </c>
      <c r="F4" s="10" t="s">
        <v>65</v>
      </c>
      <c r="G4" s="10" t="s">
        <v>66</v>
      </c>
      <c r="H4" s="10" t="s">
        <v>67</v>
      </c>
      <c r="I4" s="10" t="s">
        <v>68</v>
      </c>
      <c r="J4" s="10" t="s">
        <v>69</v>
      </c>
      <c r="K4" s="10" t="s">
        <v>70</v>
      </c>
      <c r="L4" s="10" t="s">
        <v>71</v>
      </c>
      <c r="M4" s="10" t="s">
        <v>72</v>
      </c>
      <c r="N4" s="10" t="s">
        <v>73</v>
      </c>
      <c r="O4" s="10" t="s">
        <v>74</v>
      </c>
      <c r="P4" s="10" t="s">
        <v>2</v>
      </c>
      <c r="Q4" s="115" t="str">
        <f>A16</f>
        <v>Listar Tipos</v>
      </c>
    </row>
    <row r="5" spans="1:18" ht="40.5">
      <c r="A5" s="64" t="s">
        <v>75</v>
      </c>
      <c r="B5" s="7" t="s">
        <v>76</v>
      </c>
      <c r="C5" s="7">
        <v>36</v>
      </c>
      <c r="D5" s="7">
        <v>36</v>
      </c>
      <c r="E5" s="7"/>
      <c r="F5" s="7"/>
      <c r="G5" s="7"/>
      <c r="H5" s="7" t="s">
        <v>522</v>
      </c>
      <c r="I5" s="7"/>
      <c r="J5" s="13"/>
      <c r="K5" s="67" t="s">
        <v>15</v>
      </c>
      <c r="L5" s="7" t="s">
        <v>17</v>
      </c>
      <c r="M5" s="7" t="s">
        <v>15</v>
      </c>
      <c r="N5" s="7" t="s">
        <v>15</v>
      </c>
      <c r="O5" s="7" t="s">
        <v>15</v>
      </c>
      <c r="P5" s="7" t="s">
        <v>598</v>
      </c>
      <c r="Q5" s="116" t="s">
        <v>11</v>
      </c>
    </row>
    <row r="6" spans="1:18">
      <c r="A6" s="64" t="s">
        <v>599</v>
      </c>
      <c r="B6" s="7" t="s">
        <v>300</v>
      </c>
      <c r="C6" s="7">
        <v>1</v>
      </c>
      <c r="D6" s="7">
        <v>10</v>
      </c>
      <c r="E6" s="7"/>
      <c r="F6" s="7"/>
      <c r="G6" s="7"/>
      <c r="H6" s="7" t="s">
        <v>600</v>
      </c>
      <c r="I6" s="7"/>
      <c r="J6" s="13"/>
      <c r="K6" s="67" t="s">
        <v>17</v>
      </c>
      <c r="L6" s="7" t="s">
        <v>17</v>
      </c>
      <c r="M6" s="7" t="s">
        <v>15</v>
      </c>
      <c r="N6" s="7" t="s">
        <v>17</v>
      </c>
      <c r="O6" s="7" t="s">
        <v>15</v>
      </c>
      <c r="P6" s="7" t="s">
        <v>601</v>
      </c>
      <c r="Q6" s="116" t="s">
        <v>13</v>
      </c>
    </row>
    <row r="7" spans="1:18" ht="27">
      <c r="A7" s="64" t="s">
        <v>79</v>
      </c>
      <c r="B7" s="7" t="s">
        <v>300</v>
      </c>
      <c r="C7" s="7">
        <v>2</v>
      </c>
      <c r="D7" s="7">
        <v>100</v>
      </c>
      <c r="E7" s="7"/>
      <c r="F7" s="7"/>
      <c r="G7" s="7"/>
      <c r="H7" s="7" t="s">
        <v>602</v>
      </c>
      <c r="I7" s="7"/>
      <c r="J7" s="13"/>
      <c r="K7" s="7" t="s">
        <v>17</v>
      </c>
      <c r="L7" s="7" t="s">
        <v>17</v>
      </c>
      <c r="M7" s="7" t="s">
        <v>15</v>
      </c>
      <c r="N7" s="7" t="s">
        <v>17</v>
      </c>
      <c r="O7" s="7" t="s">
        <v>17</v>
      </c>
      <c r="P7" s="7" t="s">
        <v>603</v>
      </c>
      <c r="Q7" s="116" t="s">
        <v>13</v>
      </c>
    </row>
    <row r="9" spans="1:18">
      <c r="A9" s="281" t="s">
        <v>99</v>
      </c>
      <c r="B9" s="282"/>
      <c r="C9" s="283"/>
    </row>
    <row r="10" spans="1:18">
      <c r="A10" s="65" t="s">
        <v>100</v>
      </c>
      <c r="B10" s="61" t="s">
        <v>2</v>
      </c>
      <c r="C10" s="69" t="s">
        <v>101</v>
      </c>
    </row>
    <row r="11" spans="1:18" ht="54" customHeight="1">
      <c r="A11" s="66" t="s">
        <v>102</v>
      </c>
      <c r="B11" s="15" t="s">
        <v>604</v>
      </c>
      <c r="C11" s="70" t="str">
        <f>A6</f>
        <v>sigla</v>
      </c>
    </row>
    <row r="12" spans="1:18" ht="54" customHeight="1">
      <c r="A12" s="66" t="s">
        <v>104</v>
      </c>
      <c r="B12" s="15" t="s">
        <v>605</v>
      </c>
      <c r="C12" s="70" t="str">
        <f>A7</f>
        <v>nombre</v>
      </c>
    </row>
    <row r="14" spans="1:18">
      <c r="A14" s="325" t="s">
        <v>106</v>
      </c>
      <c r="B14" s="325"/>
      <c r="C14" s="325" t="s">
        <v>2</v>
      </c>
      <c r="D14" s="325"/>
      <c r="E14" s="325"/>
      <c r="F14" s="325"/>
      <c r="G14" s="325" t="s">
        <v>107</v>
      </c>
      <c r="H14" s="325"/>
      <c r="I14" s="325"/>
      <c r="J14" s="325" t="s">
        <v>108</v>
      </c>
      <c r="K14" s="325"/>
      <c r="L14" s="325"/>
      <c r="M14" s="325"/>
      <c r="N14" s="325"/>
      <c r="O14" s="325" t="s">
        <v>109</v>
      </c>
      <c r="P14" s="325"/>
      <c r="Q14" s="325" t="s">
        <v>185</v>
      </c>
      <c r="R14" s="325"/>
    </row>
    <row r="15" spans="1:18">
      <c r="A15" s="327"/>
      <c r="B15" s="327"/>
      <c r="C15" s="327"/>
      <c r="D15" s="327"/>
      <c r="E15" s="327"/>
      <c r="F15" s="327"/>
      <c r="G15" s="96" t="s">
        <v>110</v>
      </c>
      <c r="H15" s="96" t="s">
        <v>111</v>
      </c>
      <c r="I15" s="96" t="s">
        <v>2</v>
      </c>
      <c r="J15" s="96" t="s">
        <v>61</v>
      </c>
      <c r="K15" s="327" t="s">
        <v>2</v>
      </c>
      <c r="L15" s="327"/>
      <c r="M15" s="327"/>
      <c r="N15" s="327"/>
      <c r="O15" s="96" t="s">
        <v>112</v>
      </c>
      <c r="P15" s="96" t="s">
        <v>2</v>
      </c>
      <c r="Q15" s="96" t="s">
        <v>113</v>
      </c>
      <c r="R15" s="96" t="s">
        <v>114</v>
      </c>
    </row>
    <row r="16" spans="1:18" ht="45" customHeight="1">
      <c r="A16" s="238" t="s">
        <v>606</v>
      </c>
      <c r="B16" s="238"/>
      <c r="C16" s="237" t="s">
        <v>607</v>
      </c>
      <c r="D16" s="237"/>
      <c r="E16" s="237"/>
      <c r="F16" s="237"/>
      <c r="G16" s="237"/>
      <c r="H16" s="322"/>
      <c r="I16" s="237" t="s">
        <v>608</v>
      </c>
      <c r="J16" s="322" t="s">
        <v>119</v>
      </c>
      <c r="K16" s="237" t="s">
        <v>609</v>
      </c>
      <c r="L16" s="237"/>
      <c r="M16" s="237"/>
      <c r="N16" s="237"/>
      <c r="O16" s="168" t="s">
        <v>610</v>
      </c>
      <c r="P16" s="120" t="s">
        <v>611</v>
      </c>
      <c r="Q16" s="168" t="s">
        <v>500</v>
      </c>
      <c r="R16" s="120" t="s">
        <v>501</v>
      </c>
    </row>
    <row r="17" spans="1:18">
      <c r="A17" s="238"/>
      <c r="B17" s="238"/>
      <c r="C17" s="237"/>
      <c r="D17" s="237"/>
      <c r="E17" s="237"/>
      <c r="F17" s="237"/>
      <c r="G17" s="237"/>
      <c r="H17" s="322"/>
      <c r="I17" s="237"/>
      <c r="J17" s="322"/>
      <c r="K17" s="237"/>
      <c r="L17" s="237"/>
      <c r="M17" s="237"/>
      <c r="N17" s="237"/>
      <c r="O17" s="168" t="s">
        <v>612</v>
      </c>
      <c r="P17" s="120" t="s">
        <v>613</v>
      </c>
      <c r="Q17" s="120" t="s">
        <v>236</v>
      </c>
      <c r="R17" s="120" t="s">
        <v>237</v>
      </c>
    </row>
    <row r="19" spans="1:18" ht="30.75" customHeight="1"/>
  </sheetData>
  <mergeCells count="18">
    <mergeCell ref="A1:P1"/>
    <mergeCell ref="B2:P2"/>
    <mergeCell ref="B3:P3"/>
    <mergeCell ref="A9:C9"/>
    <mergeCell ref="A14:B15"/>
    <mergeCell ref="C14:F15"/>
    <mergeCell ref="G14:I14"/>
    <mergeCell ref="J14:N14"/>
    <mergeCell ref="O14:P14"/>
    <mergeCell ref="Q14:R14"/>
    <mergeCell ref="K15:N15"/>
    <mergeCell ref="C16:F17"/>
    <mergeCell ref="A16:B17"/>
    <mergeCell ref="K16:N17"/>
    <mergeCell ref="J16:J17"/>
    <mergeCell ref="I16:I17"/>
    <mergeCell ref="H16:H17"/>
    <mergeCell ref="G16:G17"/>
  </mergeCells>
  <dataValidations count="1">
    <dataValidation type="list" allowBlank="1" showInputMessage="1" showErrorMessage="1" sqref="K5:O7" xr:uid="{6AF90E78-99D1-4C0A-B505-1F1D2F9C10A4}">
      <formula1>"Si,No"</formula1>
    </dataValidation>
  </dataValidations>
  <hyperlinks>
    <hyperlink ref="A1" location="'Objetos de Dominio'!A1" display="Volver al inicio" xr:uid="{E9BFDA8F-8113-43E7-86F0-B1E32755EB48}"/>
    <hyperlink ref="Q4" location="'Tipo Documento'!A16" display="=A16" xr:uid="{6A97E0F4-DA1C-4A22-87A6-77F6031AB7C8}"/>
    <hyperlink ref="A1:P1" location="'Listado Objetos de Dominio'!A1" display="&lt;-Volver al inicio" xr:uid="{31C716AD-92C4-4876-8A30-8ADA6BB7FF13}"/>
    <hyperlink ref="C11" location="'Tipo Documento'!A6" display="=A6" xr:uid="{2AD7A557-E62B-4035-BE63-9570C3C21FF8}"/>
    <hyperlink ref="C12" location="'Tipo Documento'!A7" display="=A7" xr:uid="{74C41FDE-BC4A-42E2-B3B4-B798DCEFAFEB}"/>
    <hyperlink ref="A16:B17" location="'Tipo Documento'!Q4" display="Listar Tipos" xr:uid="{7E53852D-F9A7-4E35-AB5A-D38229C527E1}"/>
  </hyperlink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2767A43-9394-42C8-B359-80A37771FFF3}">
          <x14:formula1>
            <xm:f>Valores!$A$3:$A$10</xm:f>
          </x14:formula1>
          <xm:sqref>Q5:Q7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F24C9C-C3C9-4E6C-8A5D-1813E143C42A}">
  <dimension ref="A1:R20"/>
  <sheetViews>
    <sheetView topLeftCell="C1" zoomScale="70" zoomScaleNormal="70" workbookViewId="0">
      <selection activeCell="R12" sqref="R12"/>
    </sheetView>
  </sheetViews>
  <sheetFormatPr defaultColWidth="11.42578125" defaultRowHeight="15"/>
  <cols>
    <col min="1" max="1" width="23.85546875" style="57" bestFit="1" customWidth="1"/>
    <col min="2" max="2" width="21" style="57" customWidth="1"/>
    <col min="3" max="3" width="18.7109375" style="57" bestFit="1" customWidth="1"/>
    <col min="4" max="4" width="18.85546875" style="57" bestFit="1" customWidth="1"/>
    <col min="5" max="5" width="11.5703125" style="57" bestFit="1" customWidth="1"/>
    <col min="6" max="6" width="15.28515625" style="57" bestFit="1" customWidth="1"/>
    <col min="7" max="7" width="28.5703125" style="57" bestFit="1" customWidth="1"/>
    <col min="8" max="8" width="20.140625" style="57" customWidth="1"/>
    <col min="9" max="9" width="79.28515625" style="57" bestFit="1" customWidth="1"/>
    <col min="10" max="10" width="18.140625" style="57" bestFit="1" customWidth="1"/>
    <col min="11" max="11" width="19.28515625" style="57" bestFit="1" customWidth="1"/>
    <col min="12" max="12" width="14.42578125" style="57" bestFit="1" customWidth="1"/>
    <col min="13" max="13" width="15.7109375" style="57" bestFit="1" customWidth="1"/>
    <col min="14" max="14" width="12.85546875" style="57" bestFit="1" customWidth="1"/>
    <col min="15" max="15" width="25" style="57" bestFit="1" customWidth="1"/>
    <col min="16" max="16" width="94.42578125" style="57" bestFit="1" customWidth="1"/>
    <col min="17" max="17" width="49.28515625" style="57" customWidth="1"/>
    <col min="18" max="18" width="46.42578125" style="57" bestFit="1" customWidth="1"/>
    <col min="19" max="19" width="50.140625" style="57" bestFit="1" customWidth="1"/>
    <col min="20" max="20" width="52.28515625" style="57" bestFit="1" customWidth="1"/>
    <col min="21" max="16384" width="11.42578125" style="57"/>
  </cols>
  <sheetData>
    <row r="1" spans="1:18">
      <c r="A1" s="245" t="s">
        <v>57</v>
      </c>
      <c r="B1" s="245"/>
      <c r="C1" s="245"/>
      <c r="D1" s="245"/>
      <c r="E1" s="245"/>
      <c r="F1" s="245"/>
      <c r="G1" s="245"/>
      <c r="H1" s="245"/>
      <c r="I1" s="245"/>
      <c r="J1" s="245"/>
      <c r="K1" s="245"/>
      <c r="L1" s="245"/>
      <c r="M1" s="245"/>
      <c r="N1" s="245"/>
      <c r="O1" s="245"/>
      <c r="P1" s="245"/>
    </row>
    <row r="2" spans="1:18">
      <c r="A2" s="62" t="s">
        <v>58</v>
      </c>
      <c r="B2" s="196" t="str">
        <f>'Listado Objetos de Dominio'!A14</f>
        <v>Programa</v>
      </c>
      <c r="C2" s="196"/>
      <c r="D2" s="196"/>
      <c r="E2" s="196"/>
      <c r="F2" s="196"/>
      <c r="G2" s="196"/>
      <c r="H2" s="196"/>
      <c r="I2" s="196"/>
      <c r="J2" s="196"/>
      <c r="K2" s="196"/>
      <c r="L2" s="196"/>
      <c r="M2" s="196"/>
      <c r="N2" s="196"/>
      <c r="O2" s="196"/>
      <c r="P2" s="196"/>
    </row>
    <row r="3" spans="1:18">
      <c r="A3" s="62" t="s">
        <v>59</v>
      </c>
      <c r="B3" s="196" t="str">
        <f>'Listado Objetos de Dominio'!B14</f>
        <v>Programa o carrera al que pertenece el estudiante</v>
      </c>
      <c r="C3" s="196"/>
      <c r="D3" s="196"/>
      <c r="E3" s="196"/>
      <c r="F3" s="196"/>
      <c r="G3" s="196"/>
      <c r="H3" s="196"/>
      <c r="I3" s="196"/>
      <c r="J3" s="196"/>
      <c r="K3" s="196"/>
      <c r="L3" s="196"/>
      <c r="M3" s="196"/>
      <c r="N3" s="196"/>
      <c r="O3" s="196"/>
      <c r="P3" s="196"/>
    </row>
    <row r="4" spans="1:18">
      <c r="A4" s="169" t="s">
        <v>60</v>
      </c>
      <c r="B4" s="170" t="s">
        <v>61</v>
      </c>
      <c r="C4" s="170" t="s">
        <v>62</v>
      </c>
      <c r="D4" s="170" t="s">
        <v>63</v>
      </c>
      <c r="E4" s="170" t="s">
        <v>64</v>
      </c>
      <c r="F4" s="170" t="s">
        <v>65</v>
      </c>
      <c r="G4" s="170" t="s">
        <v>66</v>
      </c>
      <c r="H4" s="170" t="s">
        <v>67</v>
      </c>
      <c r="I4" s="170" t="s">
        <v>68</v>
      </c>
      <c r="J4" s="170" t="s">
        <v>69</v>
      </c>
      <c r="K4" s="170" t="s">
        <v>70</v>
      </c>
      <c r="L4" s="170" t="s">
        <v>71</v>
      </c>
      <c r="M4" s="170" t="s">
        <v>72</v>
      </c>
      <c r="N4" s="170" t="s">
        <v>73</v>
      </c>
      <c r="O4" s="170" t="s">
        <v>74</v>
      </c>
      <c r="P4" s="184" t="s">
        <v>2</v>
      </c>
      <c r="Q4" s="165" t="str">
        <f>A17</f>
        <v>Listar Programas</v>
      </c>
    </row>
    <row r="5" spans="1:18" ht="27">
      <c r="A5" s="52" t="s">
        <v>273</v>
      </c>
      <c r="B5" s="52" t="s">
        <v>76</v>
      </c>
      <c r="C5" s="52">
        <v>2</v>
      </c>
      <c r="D5" s="52">
        <v>50</v>
      </c>
      <c r="E5" s="52"/>
      <c r="F5" s="52"/>
      <c r="G5" s="52"/>
      <c r="H5" s="7" t="s">
        <v>522</v>
      </c>
      <c r="I5" s="52"/>
      <c r="J5" s="93"/>
      <c r="K5" s="98" t="s">
        <v>15</v>
      </c>
      <c r="L5" s="52" t="s">
        <v>17</v>
      </c>
      <c r="M5" s="52" t="s">
        <v>15</v>
      </c>
      <c r="N5" s="52" t="s">
        <v>15</v>
      </c>
      <c r="O5" s="52" t="s">
        <v>15</v>
      </c>
      <c r="P5" s="52" t="s">
        <v>614</v>
      </c>
      <c r="Q5" s="176" t="s">
        <v>11</v>
      </c>
    </row>
    <row r="6" spans="1:18">
      <c r="A6" s="172" t="s">
        <v>615</v>
      </c>
      <c r="B6" s="173" t="s">
        <v>80</v>
      </c>
      <c r="C6" s="173">
        <v>2</v>
      </c>
      <c r="D6" s="173">
        <v>10</v>
      </c>
      <c r="E6" s="173"/>
      <c r="F6" s="173"/>
      <c r="G6" s="173"/>
      <c r="H6" s="7" t="s">
        <v>81</v>
      </c>
      <c r="I6" s="173"/>
      <c r="J6" s="174"/>
      <c r="K6" s="175" t="s">
        <v>17</v>
      </c>
      <c r="L6" s="173" t="s">
        <v>17</v>
      </c>
      <c r="M6" s="173" t="s">
        <v>15</v>
      </c>
      <c r="N6" s="173" t="s">
        <v>17</v>
      </c>
      <c r="O6" s="173" t="s">
        <v>15</v>
      </c>
      <c r="P6" s="173" t="s">
        <v>616</v>
      </c>
      <c r="Q6" s="176" t="s">
        <v>13</v>
      </c>
    </row>
    <row r="7" spans="1:18" ht="27">
      <c r="A7" s="64" t="s">
        <v>79</v>
      </c>
      <c r="B7" s="7" t="s">
        <v>80</v>
      </c>
      <c r="C7" s="7">
        <v>2</v>
      </c>
      <c r="D7" s="7">
        <v>50</v>
      </c>
      <c r="E7" s="7"/>
      <c r="F7" s="7"/>
      <c r="G7" s="7"/>
      <c r="H7" s="7" t="s">
        <v>81</v>
      </c>
      <c r="I7" s="7"/>
      <c r="J7" s="13"/>
      <c r="K7" s="67" t="s">
        <v>17</v>
      </c>
      <c r="L7" s="7" t="s">
        <v>17</v>
      </c>
      <c r="M7" s="7" t="s">
        <v>15</v>
      </c>
      <c r="N7" s="7" t="s">
        <v>17</v>
      </c>
      <c r="O7" s="7" t="s">
        <v>15</v>
      </c>
      <c r="P7" s="7" t="s">
        <v>617</v>
      </c>
      <c r="Q7" s="116" t="s">
        <v>13</v>
      </c>
    </row>
    <row r="8" spans="1:18" ht="27">
      <c r="A8" s="64" t="s">
        <v>331</v>
      </c>
      <c r="B8" s="147" t="s">
        <v>76</v>
      </c>
      <c r="C8" s="7"/>
      <c r="D8" s="7"/>
      <c r="E8" s="7"/>
      <c r="F8" s="7"/>
      <c r="G8" s="7"/>
      <c r="H8" s="7" t="s">
        <v>522</v>
      </c>
      <c r="I8" s="7"/>
      <c r="J8" s="13"/>
      <c r="K8" s="7" t="s">
        <v>17</v>
      </c>
      <c r="L8" s="7" t="s">
        <v>17</v>
      </c>
      <c r="M8" s="7" t="s">
        <v>15</v>
      </c>
      <c r="N8" s="7" t="s">
        <v>17</v>
      </c>
      <c r="O8" s="7" t="s">
        <v>17</v>
      </c>
      <c r="P8" s="7" t="s">
        <v>618</v>
      </c>
      <c r="Q8" s="116" t="s">
        <v>13</v>
      </c>
    </row>
    <row r="10" spans="1:18">
      <c r="A10" s="281" t="s">
        <v>99</v>
      </c>
      <c r="B10" s="282"/>
      <c r="C10" s="283"/>
    </row>
    <row r="11" spans="1:18">
      <c r="A11" s="179" t="s">
        <v>100</v>
      </c>
      <c r="B11" s="180" t="s">
        <v>2</v>
      </c>
      <c r="C11" s="181" t="s">
        <v>101</v>
      </c>
    </row>
    <row r="12" spans="1:18" ht="39" customHeight="1">
      <c r="A12" s="177" t="s">
        <v>102</v>
      </c>
      <c r="B12" s="177" t="s">
        <v>619</v>
      </c>
      <c r="C12" s="178" t="str">
        <f>A6</f>
        <v>snies</v>
      </c>
    </row>
    <row r="13" spans="1:18" ht="39" customHeight="1">
      <c r="A13" s="177" t="s">
        <v>104</v>
      </c>
      <c r="B13" s="177" t="s">
        <v>620</v>
      </c>
      <c r="C13" s="178" t="str">
        <f>A7</f>
        <v>nombre</v>
      </c>
    </row>
    <row r="15" spans="1:18">
      <c r="A15" s="251" t="s">
        <v>106</v>
      </c>
      <c r="B15" s="252"/>
      <c r="C15" s="252" t="s">
        <v>2</v>
      </c>
      <c r="D15" s="252"/>
      <c r="E15" s="252"/>
      <c r="F15" s="252"/>
      <c r="G15" s="252" t="s">
        <v>107</v>
      </c>
      <c r="H15" s="252"/>
      <c r="I15" s="252"/>
      <c r="J15" s="252" t="s">
        <v>108</v>
      </c>
      <c r="K15" s="252"/>
      <c r="L15" s="252"/>
      <c r="M15" s="252"/>
      <c r="N15" s="252"/>
      <c r="O15" s="252" t="s">
        <v>109</v>
      </c>
      <c r="P15" s="252"/>
      <c r="Q15" s="252" t="s">
        <v>185</v>
      </c>
      <c r="R15" s="257"/>
    </row>
    <row r="16" spans="1:18">
      <c r="A16" s="253"/>
      <c r="B16" s="254"/>
      <c r="C16" s="254"/>
      <c r="D16" s="254"/>
      <c r="E16" s="254"/>
      <c r="F16" s="254"/>
      <c r="G16" s="76" t="s">
        <v>110</v>
      </c>
      <c r="H16" s="76" t="s">
        <v>111</v>
      </c>
      <c r="I16" s="76" t="s">
        <v>2</v>
      </c>
      <c r="J16" s="76" t="s">
        <v>61</v>
      </c>
      <c r="K16" s="254" t="s">
        <v>2</v>
      </c>
      <c r="L16" s="254"/>
      <c r="M16" s="254"/>
      <c r="N16" s="254"/>
      <c r="O16" s="76" t="s">
        <v>112</v>
      </c>
      <c r="P16" s="76" t="s">
        <v>2</v>
      </c>
      <c r="Q16" s="76" t="s">
        <v>113</v>
      </c>
      <c r="R16" s="100" t="s">
        <v>114</v>
      </c>
    </row>
    <row r="17" spans="1:18" ht="15" customHeight="1">
      <c r="A17" s="238" t="s">
        <v>621</v>
      </c>
      <c r="B17" s="238"/>
      <c r="C17" s="237" t="s">
        <v>622</v>
      </c>
      <c r="D17" s="237"/>
      <c r="E17" s="237"/>
      <c r="F17" s="237"/>
      <c r="G17" s="237"/>
      <c r="H17" s="258"/>
      <c r="I17" s="237" t="s">
        <v>608</v>
      </c>
      <c r="J17" s="237" t="s">
        <v>119</v>
      </c>
      <c r="K17" s="237" t="s">
        <v>623</v>
      </c>
      <c r="L17" s="237"/>
      <c r="M17" s="237"/>
      <c r="N17" s="237"/>
      <c r="O17" s="182" t="s">
        <v>624</v>
      </c>
      <c r="P17" s="183" t="s">
        <v>595</v>
      </c>
      <c r="Q17" s="183" t="s">
        <v>500</v>
      </c>
      <c r="R17" s="183" t="s">
        <v>625</v>
      </c>
    </row>
    <row r="18" spans="1:18">
      <c r="A18" s="238"/>
      <c r="B18" s="238"/>
      <c r="C18" s="237"/>
      <c r="D18" s="237"/>
      <c r="E18" s="237"/>
      <c r="F18" s="237"/>
      <c r="G18" s="237"/>
      <c r="H18" s="258"/>
      <c r="I18" s="237"/>
      <c r="J18" s="237"/>
      <c r="K18" s="237"/>
      <c r="L18" s="237"/>
      <c r="M18" s="237"/>
      <c r="N18" s="237"/>
      <c r="O18" s="182" t="s">
        <v>626</v>
      </c>
      <c r="P18" s="183" t="s">
        <v>627</v>
      </c>
      <c r="Q18" s="183" t="s">
        <v>236</v>
      </c>
      <c r="R18" s="183" t="s">
        <v>237</v>
      </c>
    </row>
    <row r="20" spans="1:18" ht="15" customHeight="1"/>
  </sheetData>
  <mergeCells count="18">
    <mergeCell ref="H17:H18"/>
    <mergeCell ref="G17:G18"/>
    <mergeCell ref="C17:F18"/>
    <mergeCell ref="A17:B18"/>
    <mergeCell ref="Q15:R15"/>
    <mergeCell ref="K16:N16"/>
    <mergeCell ref="K17:N18"/>
    <mergeCell ref="J17:J18"/>
    <mergeCell ref="I17:I18"/>
    <mergeCell ref="A1:P1"/>
    <mergeCell ref="B2:P2"/>
    <mergeCell ref="B3:P3"/>
    <mergeCell ref="A10:C10"/>
    <mergeCell ref="A15:B16"/>
    <mergeCell ref="C15:F16"/>
    <mergeCell ref="G15:I15"/>
    <mergeCell ref="J15:N15"/>
    <mergeCell ref="O15:P15"/>
  </mergeCells>
  <dataValidations count="1">
    <dataValidation type="list" allowBlank="1" showInputMessage="1" showErrorMessage="1" sqref="K6:O8 K5:N5" xr:uid="{5637E627-05FF-4450-AEBD-8336C77757F4}">
      <formula1>"Si,No"</formula1>
    </dataValidation>
  </dataValidations>
  <hyperlinks>
    <hyperlink ref="A1" location="'Objetos de Dominio'!A1" display="Volver al inicio" xr:uid="{CB212AD3-951D-4D74-B763-253ED89E7709}"/>
    <hyperlink ref="Q4" location="'Programa'!A17" display="=A17" xr:uid="{FA95BF29-D7CD-45C7-A10F-AC29362FF3B7}"/>
    <hyperlink ref="A1:P1" location="'Listado Objetos de Dominio'!A1" display="&lt;-Volver al inicio" xr:uid="{D1BB3B9E-21E1-4B19-B74F-7757D26A1993}"/>
    <hyperlink ref="C12" location="'Programa'!A6" display="A6" xr:uid="{F1E7B7D7-9688-4BFC-AB70-D99A17297498}"/>
    <hyperlink ref="B8" location="'Facultad'!A1" display="UUID" xr:uid="{73BC1035-51D4-4CD9-B84C-01595B6DAAC1}"/>
    <hyperlink ref="C13" location="'Programa'!A7" display="=A7" xr:uid="{6A8DEF21-C384-4ECE-9ACC-1D5F90A2FF1F}"/>
    <hyperlink ref="A17:B18" location="'Programa'!Q4" display="Listar Programas" xr:uid="{0772BA1E-127C-4BB8-9702-15CC8BD1A5B6}"/>
  </hyperlink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06D7E9E-3719-4F18-AA12-9F991E1656FD}">
          <x14:formula1>
            <xm:f>Valores!$A$3:$A$10</xm:f>
          </x14:formula1>
          <xm:sqref>Q5:Q8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47C33F-099A-4655-98E4-A9303549AFF0}">
  <dimension ref="A1:R17"/>
  <sheetViews>
    <sheetView topLeftCell="B1" zoomScale="70" zoomScaleNormal="70" workbookViewId="0">
      <selection activeCell="J5" sqref="J5:J6"/>
    </sheetView>
  </sheetViews>
  <sheetFormatPr defaultColWidth="11.42578125" defaultRowHeight="15"/>
  <cols>
    <col min="1" max="1" width="23.85546875" style="57" bestFit="1" customWidth="1"/>
    <col min="2" max="2" width="21" style="57" customWidth="1"/>
    <col min="3" max="3" width="18.7109375" style="57" bestFit="1" customWidth="1"/>
    <col min="4" max="4" width="18.85546875" style="57" bestFit="1" customWidth="1"/>
    <col min="5" max="5" width="11.5703125" style="57" bestFit="1" customWidth="1"/>
    <col min="6" max="6" width="15.28515625" style="57" bestFit="1" customWidth="1"/>
    <col min="7" max="7" width="28.5703125" style="57" bestFit="1" customWidth="1"/>
    <col min="8" max="8" width="16.85546875" style="57" bestFit="1" customWidth="1"/>
    <col min="9" max="9" width="79.28515625" style="57" bestFit="1" customWidth="1"/>
    <col min="10" max="10" width="18.140625" style="57" bestFit="1" customWidth="1"/>
    <col min="11" max="11" width="19.28515625" style="57" bestFit="1" customWidth="1"/>
    <col min="12" max="12" width="14.42578125" style="57" bestFit="1" customWidth="1"/>
    <col min="13" max="13" width="15.7109375" style="57" bestFit="1" customWidth="1"/>
    <col min="14" max="14" width="12.85546875" style="57" bestFit="1" customWidth="1"/>
    <col min="15" max="15" width="25" style="57" bestFit="1" customWidth="1"/>
    <col min="16" max="16" width="94.42578125" style="57" bestFit="1" customWidth="1"/>
    <col min="17" max="17" width="132.5703125" style="57" bestFit="1" customWidth="1"/>
    <col min="18" max="18" width="46.42578125" style="57" bestFit="1" customWidth="1"/>
    <col min="19" max="19" width="50.140625" style="57" bestFit="1" customWidth="1"/>
    <col min="20" max="20" width="52.28515625" style="57" bestFit="1" customWidth="1"/>
    <col min="21" max="16384" width="11.42578125" style="57"/>
  </cols>
  <sheetData>
    <row r="1" spans="1:18">
      <c r="A1" s="245" t="s">
        <v>57</v>
      </c>
      <c r="B1" s="245"/>
      <c r="C1" s="245"/>
      <c r="D1" s="245"/>
      <c r="E1" s="245"/>
      <c r="F1" s="245"/>
      <c r="G1" s="245"/>
      <c r="H1" s="245"/>
      <c r="I1" s="245"/>
      <c r="J1" s="245"/>
      <c r="K1" s="245"/>
      <c r="L1" s="245"/>
      <c r="M1" s="245"/>
      <c r="N1" s="245"/>
      <c r="O1" s="245"/>
      <c r="P1" s="245"/>
    </row>
    <row r="2" spans="1:18">
      <c r="A2" s="62" t="s">
        <v>58</v>
      </c>
      <c r="B2" s="196" t="str">
        <f>'Listado Objetos de Dominio'!A15</f>
        <v>Facultad</v>
      </c>
      <c r="C2" s="196"/>
      <c r="D2" s="196"/>
      <c r="E2" s="196"/>
      <c r="F2" s="196"/>
      <c r="G2" s="196"/>
      <c r="H2" s="196"/>
      <c r="I2" s="196"/>
      <c r="J2" s="196"/>
      <c r="K2" s="196"/>
      <c r="L2" s="196"/>
      <c r="M2" s="196"/>
      <c r="N2" s="196"/>
      <c r="O2" s="196"/>
      <c r="P2" s="196"/>
    </row>
    <row r="3" spans="1:18">
      <c r="A3" s="62" t="s">
        <v>59</v>
      </c>
      <c r="B3" s="196" t="str">
        <f>'Listado Objetos de Dominio'!B15</f>
        <v>Facultad a la que pertenece el programa y el entrenador</v>
      </c>
      <c r="C3" s="196"/>
      <c r="D3" s="196"/>
      <c r="E3" s="196"/>
      <c r="F3" s="196"/>
      <c r="G3" s="196"/>
      <c r="H3" s="196"/>
      <c r="I3" s="196"/>
      <c r="J3" s="196"/>
      <c r="K3" s="196"/>
      <c r="L3" s="196"/>
      <c r="M3" s="196"/>
      <c r="N3" s="196"/>
      <c r="O3" s="196"/>
      <c r="P3" s="196"/>
    </row>
    <row r="4" spans="1:18">
      <c r="A4" s="169" t="s">
        <v>60</v>
      </c>
      <c r="B4" s="170" t="s">
        <v>61</v>
      </c>
      <c r="C4" s="170" t="s">
        <v>62</v>
      </c>
      <c r="D4" s="170" t="s">
        <v>63</v>
      </c>
      <c r="E4" s="170" t="s">
        <v>64</v>
      </c>
      <c r="F4" s="170" t="s">
        <v>65</v>
      </c>
      <c r="G4" s="170" t="s">
        <v>66</v>
      </c>
      <c r="H4" s="170" t="s">
        <v>67</v>
      </c>
      <c r="I4" s="170" t="s">
        <v>68</v>
      </c>
      <c r="J4" s="170" t="s">
        <v>69</v>
      </c>
      <c r="K4" s="170" t="s">
        <v>70</v>
      </c>
      <c r="L4" s="170" t="s">
        <v>71</v>
      </c>
      <c r="M4" s="170" t="s">
        <v>72</v>
      </c>
      <c r="N4" s="170" t="s">
        <v>73</v>
      </c>
      <c r="O4" s="170" t="s">
        <v>74</v>
      </c>
      <c r="P4" s="170" t="s">
        <v>2</v>
      </c>
      <c r="Q4" s="171" t="str">
        <f>A14</f>
        <v>Listar Facultades</v>
      </c>
    </row>
    <row r="5" spans="1:18" ht="40.5">
      <c r="A5" s="52" t="s">
        <v>75</v>
      </c>
      <c r="B5" s="52" t="s">
        <v>76</v>
      </c>
      <c r="C5" s="52">
        <v>36</v>
      </c>
      <c r="D5" s="52">
        <v>36</v>
      </c>
      <c r="E5" s="52"/>
      <c r="F5" s="52"/>
      <c r="G5" s="52"/>
      <c r="H5" s="52" t="s">
        <v>77</v>
      </c>
      <c r="I5" s="52"/>
      <c r="J5" s="93"/>
      <c r="K5" s="98" t="s">
        <v>15</v>
      </c>
      <c r="L5" s="52" t="s">
        <v>17</v>
      </c>
      <c r="M5" s="52" t="s">
        <v>15</v>
      </c>
      <c r="N5" s="52" t="s">
        <v>15</v>
      </c>
      <c r="O5" s="52" t="s">
        <v>15</v>
      </c>
      <c r="P5" s="52" t="s">
        <v>628</v>
      </c>
      <c r="Q5" s="114" t="s">
        <v>11</v>
      </c>
    </row>
    <row r="6" spans="1:18" ht="27">
      <c r="A6" s="52" t="s">
        <v>79</v>
      </c>
      <c r="B6" s="52" t="s">
        <v>80</v>
      </c>
      <c r="C6" s="52">
        <v>2</v>
      </c>
      <c r="D6" s="52">
        <v>50</v>
      </c>
      <c r="E6" s="52"/>
      <c r="F6" s="52"/>
      <c r="G6" s="52"/>
      <c r="H6" s="52" t="s">
        <v>81</v>
      </c>
      <c r="I6" s="52"/>
      <c r="J6" s="93"/>
      <c r="K6" s="98" t="s">
        <v>17</v>
      </c>
      <c r="L6" s="52" t="s">
        <v>17</v>
      </c>
      <c r="M6" s="52" t="s">
        <v>15</v>
      </c>
      <c r="N6" s="52" t="s">
        <v>17</v>
      </c>
      <c r="O6" s="52" t="s">
        <v>15</v>
      </c>
      <c r="P6" s="52" t="s">
        <v>629</v>
      </c>
      <c r="Q6" s="114" t="s">
        <v>13</v>
      </c>
    </row>
    <row r="8" spans="1:18">
      <c r="A8" s="281" t="s">
        <v>99</v>
      </c>
      <c r="B8" s="282"/>
      <c r="C8" s="283"/>
    </row>
    <row r="9" spans="1:18">
      <c r="A9" s="65" t="s">
        <v>100</v>
      </c>
      <c r="B9" s="61" t="s">
        <v>2</v>
      </c>
      <c r="C9" s="69" t="s">
        <v>101</v>
      </c>
    </row>
    <row r="10" spans="1:18" ht="39" customHeight="1">
      <c r="A10" s="66" t="s">
        <v>102</v>
      </c>
      <c r="B10" s="15" t="s">
        <v>630</v>
      </c>
      <c r="C10" s="70" t="str">
        <f>A6</f>
        <v>nombre</v>
      </c>
    </row>
    <row r="12" spans="1:18">
      <c r="A12" s="251" t="s">
        <v>106</v>
      </c>
      <c r="B12" s="252"/>
      <c r="C12" s="252" t="s">
        <v>2</v>
      </c>
      <c r="D12" s="252"/>
      <c r="E12" s="252"/>
      <c r="F12" s="252"/>
      <c r="G12" s="252" t="s">
        <v>107</v>
      </c>
      <c r="H12" s="252"/>
      <c r="I12" s="252"/>
      <c r="J12" s="252" t="s">
        <v>108</v>
      </c>
      <c r="K12" s="252"/>
      <c r="L12" s="252"/>
      <c r="M12" s="252"/>
      <c r="N12" s="252"/>
      <c r="O12" s="252" t="s">
        <v>109</v>
      </c>
      <c r="P12" s="252"/>
      <c r="Q12" s="252" t="s">
        <v>185</v>
      </c>
      <c r="R12" s="257"/>
    </row>
    <row r="13" spans="1:18">
      <c r="A13" s="253"/>
      <c r="B13" s="254"/>
      <c r="C13" s="254"/>
      <c r="D13" s="254"/>
      <c r="E13" s="254"/>
      <c r="F13" s="254"/>
      <c r="G13" s="76" t="s">
        <v>110</v>
      </c>
      <c r="H13" s="76" t="s">
        <v>111</v>
      </c>
      <c r="I13" s="76" t="s">
        <v>2</v>
      </c>
      <c r="J13" s="76" t="s">
        <v>61</v>
      </c>
      <c r="K13" s="254" t="s">
        <v>2</v>
      </c>
      <c r="L13" s="254"/>
      <c r="M13" s="254"/>
      <c r="N13" s="254"/>
      <c r="O13" s="76" t="s">
        <v>112</v>
      </c>
      <c r="P13" s="76" t="s">
        <v>2</v>
      </c>
      <c r="Q13" s="76" t="s">
        <v>113</v>
      </c>
      <c r="R13" s="100" t="s">
        <v>114</v>
      </c>
    </row>
    <row r="14" spans="1:18" ht="15" customHeight="1">
      <c r="A14" s="238" t="s">
        <v>631</v>
      </c>
      <c r="B14" s="238"/>
      <c r="C14" s="237" t="s">
        <v>632</v>
      </c>
      <c r="D14" s="237"/>
      <c r="E14" s="237"/>
      <c r="F14" s="237"/>
      <c r="G14" s="237"/>
      <c r="H14" s="258"/>
      <c r="I14" s="237" t="s">
        <v>608</v>
      </c>
      <c r="J14" s="237" t="s">
        <v>119</v>
      </c>
      <c r="K14" s="237" t="s">
        <v>633</v>
      </c>
      <c r="L14" s="237"/>
      <c r="M14" s="237"/>
      <c r="N14" s="237"/>
      <c r="O14" s="182" t="s">
        <v>634</v>
      </c>
      <c r="P14" s="183" t="s">
        <v>595</v>
      </c>
      <c r="Q14" s="183" t="s">
        <v>500</v>
      </c>
      <c r="R14" s="183" t="s">
        <v>625</v>
      </c>
    </row>
    <row r="15" spans="1:18">
      <c r="A15" s="238"/>
      <c r="B15" s="238"/>
      <c r="C15" s="237"/>
      <c r="D15" s="237"/>
      <c r="E15" s="237"/>
      <c r="F15" s="237"/>
      <c r="G15" s="237"/>
      <c r="H15" s="258"/>
      <c r="I15" s="237"/>
      <c r="J15" s="237"/>
      <c r="K15" s="237"/>
      <c r="L15" s="237"/>
      <c r="M15" s="237"/>
      <c r="N15" s="237"/>
      <c r="O15" s="182" t="s">
        <v>635</v>
      </c>
      <c r="P15" s="183" t="s">
        <v>636</v>
      </c>
      <c r="Q15" s="183" t="s">
        <v>236</v>
      </c>
      <c r="R15" s="183" t="s">
        <v>237</v>
      </c>
    </row>
    <row r="17" ht="15" customHeight="1"/>
  </sheetData>
  <mergeCells count="18">
    <mergeCell ref="H14:H15"/>
    <mergeCell ref="G14:G15"/>
    <mergeCell ref="C14:F15"/>
    <mergeCell ref="A14:B15"/>
    <mergeCell ref="Q12:R12"/>
    <mergeCell ref="K13:N13"/>
    <mergeCell ref="K14:N15"/>
    <mergeCell ref="J14:J15"/>
    <mergeCell ref="I14:I15"/>
    <mergeCell ref="A1:P1"/>
    <mergeCell ref="B2:P2"/>
    <mergeCell ref="B3:P3"/>
    <mergeCell ref="A8:C8"/>
    <mergeCell ref="A12:B13"/>
    <mergeCell ref="C12:F13"/>
    <mergeCell ref="G12:I12"/>
    <mergeCell ref="J12:N12"/>
    <mergeCell ref="O12:P12"/>
  </mergeCells>
  <dataValidations count="1">
    <dataValidation type="list" allowBlank="1" showInputMessage="1" showErrorMessage="1" sqref="K5:O6" xr:uid="{8EA3F7DE-209D-4EBE-B018-45EFBC529D78}">
      <formula1>"Si,No"</formula1>
    </dataValidation>
  </dataValidations>
  <hyperlinks>
    <hyperlink ref="A1" location="'Objetos de Dominio'!A1" display="Volver al inicio" xr:uid="{FC6F4D4A-6C28-44D2-ACE2-120F554AD4E4}"/>
    <hyperlink ref="Q4" location="'Programa'!A14" display="=A14" xr:uid="{84E393DA-03D5-497E-8327-0FAA28BE815D}"/>
    <hyperlink ref="A1:P1" location="'Listado Objetos de Dominio'!A1" display="&lt;-Volver al inicio" xr:uid="{6FA67BC0-057C-4144-9854-60D19E84F0E1}"/>
    <hyperlink ref="C10" location="'Programa'!A6" display="=A6" xr:uid="{F0F5B13C-FDF7-4AE4-9818-8BF2BCEF5110}"/>
    <hyperlink ref="A14:B15" location="'Facultad'!Q4" display="Listar Facultades" xr:uid="{9BA4F5BF-B2CE-4330-996F-73EBB85EADFA}"/>
  </hyperlink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F949D3E-6818-4221-A7DE-01A4BD80104D}">
          <x14:formula1>
            <xm:f>Valores!$A$3:$A$10</xm:f>
          </x14:formula1>
          <xm:sqref>Q5:Q6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3752A5-D417-4FDE-880E-429B2E540FAC}">
  <dimension ref="A1:S19"/>
  <sheetViews>
    <sheetView workbookViewId="0">
      <pane ySplit="2" topLeftCell="A3" activePane="bottomLeft" state="frozen"/>
      <selection pane="bottomLeft" activeCell="R15" sqref="A15:R15"/>
    </sheetView>
  </sheetViews>
  <sheetFormatPr defaultColWidth="11.42578125" defaultRowHeight="15"/>
  <cols>
    <col min="1" max="1" width="23.85546875" style="57" bestFit="1" customWidth="1"/>
    <col min="2" max="2" width="20.5703125" style="57" customWidth="1"/>
    <col min="3" max="3" width="18.7109375" style="57" bestFit="1" customWidth="1"/>
    <col min="4" max="4" width="18.85546875" style="57" bestFit="1" customWidth="1"/>
    <col min="5" max="5" width="11.5703125" style="57" bestFit="1" customWidth="1"/>
    <col min="6" max="6" width="15.28515625" style="57" bestFit="1" customWidth="1"/>
    <col min="7" max="7" width="28.5703125" style="57" bestFit="1" customWidth="1"/>
    <col min="8" max="8" width="33.28515625" style="57" customWidth="1"/>
    <col min="9" max="9" width="57.5703125" style="57" customWidth="1"/>
    <col min="10" max="10" width="18.140625" style="57" bestFit="1" customWidth="1"/>
    <col min="11" max="11" width="19.28515625" style="57" bestFit="1" customWidth="1"/>
    <col min="12" max="12" width="14.42578125" style="57" bestFit="1" customWidth="1"/>
    <col min="13" max="13" width="15.7109375" style="57" bestFit="1" customWidth="1"/>
    <col min="14" max="14" width="12.85546875" style="57" bestFit="1" customWidth="1"/>
    <col min="15" max="15" width="25" style="57" bestFit="1" customWidth="1"/>
    <col min="16" max="16" width="94.42578125" style="57" bestFit="1" customWidth="1"/>
    <col min="17" max="17" width="17.85546875" style="57" bestFit="1" customWidth="1"/>
    <col min="18" max="18" width="46.42578125" style="57" bestFit="1" customWidth="1"/>
    <col min="19" max="19" width="50.140625" style="57" bestFit="1" customWidth="1"/>
    <col min="20" max="20" width="52.28515625" style="57" bestFit="1" customWidth="1"/>
    <col min="21" max="16384" width="11.42578125" style="57"/>
  </cols>
  <sheetData>
    <row r="1" spans="1:19">
      <c r="A1" s="245" t="s">
        <v>57</v>
      </c>
      <c r="B1" s="245"/>
      <c r="C1" s="245"/>
      <c r="D1" s="245"/>
      <c r="E1" s="245"/>
      <c r="F1" s="245"/>
      <c r="G1" s="245"/>
      <c r="H1" s="245"/>
      <c r="I1" s="245"/>
      <c r="J1" s="245"/>
      <c r="K1" s="245"/>
      <c r="L1" s="245"/>
      <c r="M1" s="245"/>
      <c r="N1" s="245"/>
      <c r="O1" s="245"/>
      <c r="P1" s="245"/>
    </row>
    <row r="2" spans="1:19">
      <c r="A2" s="62" t="s">
        <v>58</v>
      </c>
      <c r="B2" s="196" t="str">
        <f>'Listado Objetos de Dominio'!A16</f>
        <v>Estado</v>
      </c>
      <c r="C2" s="196"/>
      <c r="D2" s="196"/>
      <c r="E2" s="196"/>
      <c r="F2" s="196"/>
      <c r="G2" s="196"/>
      <c r="H2" s="196"/>
      <c r="I2" s="196"/>
      <c r="J2" s="196"/>
      <c r="K2" s="196"/>
      <c r="L2" s="196"/>
      <c r="M2" s="196"/>
      <c r="N2" s="196"/>
      <c r="O2" s="196"/>
      <c r="P2" s="196"/>
    </row>
    <row r="3" spans="1:19">
      <c r="A3" s="62" t="s">
        <v>59</v>
      </c>
      <c r="B3" s="196" t="str">
        <f>'Listado Objetos de Dominio'!B16</f>
        <v>Objeto que contiene los posibles estados que puede tener una variable cognitiva o el entrenamiento cognitivo del estudiante</v>
      </c>
      <c r="C3" s="196"/>
      <c r="D3" s="196"/>
      <c r="E3" s="196"/>
      <c r="F3" s="196"/>
      <c r="G3" s="196"/>
      <c r="H3" s="196"/>
      <c r="I3" s="196"/>
      <c r="J3" s="196"/>
      <c r="K3" s="196"/>
      <c r="L3" s="196"/>
      <c r="M3" s="196"/>
      <c r="N3" s="196"/>
      <c r="O3" s="196"/>
      <c r="P3" s="196"/>
    </row>
    <row r="4" spans="1:19">
      <c r="A4" s="63" t="s">
        <v>60</v>
      </c>
      <c r="B4" s="10" t="s">
        <v>61</v>
      </c>
      <c r="C4" s="10" t="s">
        <v>62</v>
      </c>
      <c r="D4" s="10" t="s">
        <v>63</v>
      </c>
      <c r="E4" s="10" t="s">
        <v>64</v>
      </c>
      <c r="F4" s="10" t="s">
        <v>65</v>
      </c>
      <c r="G4" s="10" t="s">
        <v>66</v>
      </c>
      <c r="H4" s="10" t="s">
        <v>67</v>
      </c>
      <c r="I4" s="10" t="s">
        <v>68</v>
      </c>
      <c r="J4" s="10" t="s">
        <v>69</v>
      </c>
      <c r="K4" s="10" t="s">
        <v>70</v>
      </c>
      <c r="L4" s="10" t="s">
        <v>71</v>
      </c>
      <c r="M4" s="10" t="s">
        <v>72</v>
      </c>
      <c r="N4" s="10" t="s">
        <v>73</v>
      </c>
      <c r="O4" s="10" t="s">
        <v>74</v>
      </c>
      <c r="P4" s="80" t="s">
        <v>2</v>
      </c>
      <c r="Q4" s="186" t="str">
        <f>A15</f>
        <v>Consultar Estado</v>
      </c>
    </row>
    <row r="5" spans="1:19" ht="33.75" customHeight="1">
      <c r="A5" s="64" t="s">
        <v>75</v>
      </c>
      <c r="B5" s="7" t="s">
        <v>76</v>
      </c>
      <c r="C5" s="7">
        <v>36</v>
      </c>
      <c r="D5" s="7">
        <v>36</v>
      </c>
      <c r="E5" s="7"/>
      <c r="F5" s="7"/>
      <c r="G5" s="7"/>
      <c r="H5" s="7" t="s">
        <v>77</v>
      </c>
      <c r="I5" s="7"/>
      <c r="J5" s="13"/>
      <c r="K5" s="67" t="s">
        <v>15</v>
      </c>
      <c r="L5" s="7" t="s">
        <v>17</v>
      </c>
      <c r="M5" s="7" t="s">
        <v>15</v>
      </c>
      <c r="N5" s="7" t="s">
        <v>15</v>
      </c>
      <c r="O5" s="7" t="s">
        <v>15</v>
      </c>
      <c r="P5" s="81" t="s">
        <v>637</v>
      </c>
      <c r="Q5" s="183" t="s">
        <v>13</v>
      </c>
    </row>
    <row r="6" spans="1:19" ht="33.75" customHeight="1">
      <c r="A6" s="64" t="s">
        <v>638</v>
      </c>
      <c r="B6" s="7" t="s">
        <v>80</v>
      </c>
      <c r="C6" s="7">
        <v>1</v>
      </c>
      <c r="D6" s="7">
        <v>20</v>
      </c>
      <c r="E6" s="7"/>
      <c r="F6" s="7"/>
      <c r="G6" s="7"/>
      <c r="H6" s="7" t="s">
        <v>81</v>
      </c>
      <c r="I6" s="7"/>
      <c r="J6" s="13"/>
      <c r="K6" s="67" t="s">
        <v>17</v>
      </c>
      <c r="L6" s="7" t="s">
        <v>17</v>
      </c>
      <c r="M6" s="7" t="s">
        <v>15</v>
      </c>
      <c r="N6" s="7" t="s">
        <v>17</v>
      </c>
      <c r="O6" s="7" t="s">
        <v>15</v>
      </c>
      <c r="P6" s="81" t="s">
        <v>639</v>
      </c>
      <c r="Q6" s="183" t="s">
        <v>11</v>
      </c>
    </row>
    <row r="7" spans="1:19">
      <c r="A7" s="64" t="s">
        <v>640</v>
      </c>
      <c r="B7" s="7" t="s">
        <v>80</v>
      </c>
      <c r="C7" s="7">
        <v>1</v>
      </c>
      <c r="D7" s="7">
        <v>50</v>
      </c>
      <c r="E7" s="7"/>
      <c r="F7" s="7"/>
      <c r="G7" s="7"/>
      <c r="H7" s="7" t="s">
        <v>81</v>
      </c>
      <c r="I7" s="7"/>
      <c r="J7" s="13"/>
      <c r="K7" s="67" t="s">
        <v>17</v>
      </c>
      <c r="L7" s="7" t="s">
        <v>17</v>
      </c>
      <c r="M7" s="7" t="s">
        <v>15</v>
      </c>
      <c r="N7" s="7" t="s">
        <v>15</v>
      </c>
      <c r="O7" s="7" t="s">
        <v>15</v>
      </c>
      <c r="P7" s="81" t="s">
        <v>641</v>
      </c>
      <c r="Q7" s="183" t="s">
        <v>11</v>
      </c>
    </row>
    <row r="9" spans="1:19">
      <c r="A9" s="281" t="s">
        <v>99</v>
      </c>
      <c r="B9" s="282"/>
      <c r="C9" s="283"/>
    </row>
    <row r="10" spans="1:19">
      <c r="A10" s="65" t="s">
        <v>100</v>
      </c>
      <c r="B10" s="61" t="s">
        <v>2</v>
      </c>
      <c r="C10" s="69" t="s">
        <v>101</v>
      </c>
    </row>
    <row r="11" spans="1:19" ht="39" customHeight="1">
      <c r="A11" s="66" t="s">
        <v>102</v>
      </c>
      <c r="B11" s="15" t="s">
        <v>642</v>
      </c>
      <c r="C11" s="70" t="str">
        <f>A7</f>
        <v>codigo</v>
      </c>
      <c r="R11" s="86"/>
      <c r="S11" s="87"/>
    </row>
    <row r="13" spans="1:19">
      <c r="A13" s="251" t="s">
        <v>106</v>
      </c>
      <c r="B13" s="252"/>
      <c r="C13" s="252" t="s">
        <v>2</v>
      </c>
      <c r="D13" s="252"/>
      <c r="E13" s="252"/>
      <c r="F13" s="252"/>
      <c r="G13" s="252" t="s">
        <v>107</v>
      </c>
      <c r="H13" s="252"/>
      <c r="I13" s="252"/>
      <c r="J13" s="252" t="s">
        <v>108</v>
      </c>
      <c r="K13" s="252"/>
      <c r="L13" s="252"/>
      <c r="M13" s="252"/>
      <c r="N13" s="252"/>
      <c r="O13" s="252" t="s">
        <v>109</v>
      </c>
      <c r="P13" s="252"/>
      <c r="Q13" s="252" t="s">
        <v>185</v>
      </c>
      <c r="R13" s="257"/>
    </row>
    <row r="14" spans="1:19">
      <c r="A14" s="253"/>
      <c r="B14" s="254"/>
      <c r="C14" s="254"/>
      <c r="D14" s="254"/>
      <c r="E14" s="254"/>
      <c r="F14" s="254"/>
      <c r="G14" s="76" t="s">
        <v>110</v>
      </c>
      <c r="H14" s="76" t="s">
        <v>111</v>
      </c>
      <c r="I14" s="76" t="s">
        <v>2</v>
      </c>
      <c r="J14" s="76" t="s">
        <v>61</v>
      </c>
      <c r="K14" s="254" t="s">
        <v>2</v>
      </c>
      <c r="L14" s="254"/>
      <c r="M14" s="254"/>
      <c r="N14" s="254"/>
      <c r="O14" s="76" t="s">
        <v>112</v>
      </c>
      <c r="P14" s="76" t="s">
        <v>2</v>
      </c>
      <c r="Q14" s="76" t="s">
        <v>113</v>
      </c>
      <c r="R14" s="100" t="s">
        <v>114</v>
      </c>
    </row>
    <row r="15" spans="1:19" s="90" customFormat="1" ht="60.75">
      <c r="A15" s="238" t="s">
        <v>643</v>
      </c>
      <c r="B15" s="238"/>
      <c r="C15" s="237" t="s">
        <v>644</v>
      </c>
      <c r="D15" s="237"/>
      <c r="E15" s="237"/>
      <c r="F15" s="237"/>
      <c r="G15" s="120" t="s">
        <v>645</v>
      </c>
      <c r="H15" s="120" t="s">
        <v>80</v>
      </c>
      <c r="I15" s="120" t="s">
        <v>646</v>
      </c>
      <c r="J15" s="120" t="s">
        <v>76</v>
      </c>
      <c r="K15" s="237" t="s">
        <v>647</v>
      </c>
      <c r="L15" s="237"/>
      <c r="M15" s="237"/>
      <c r="N15" s="237"/>
      <c r="O15" s="140" t="s">
        <v>648</v>
      </c>
      <c r="P15" s="120" t="s">
        <v>649</v>
      </c>
      <c r="Q15" s="120" t="s">
        <v>650</v>
      </c>
      <c r="R15" s="120" t="s">
        <v>651</v>
      </c>
    </row>
    <row r="16" spans="1:19">
      <c r="O16"/>
    </row>
    <row r="19" ht="15" customHeight="1"/>
  </sheetData>
  <mergeCells count="14">
    <mergeCell ref="A1:P1"/>
    <mergeCell ref="B2:P2"/>
    <mergeCell ref="B3:P3"/>
    <mergeCell ref="A9:C9"/>
    <mergeCell ref="A13:B14"/>
    <mergeCell ref="C13:F14"/>
    <mergeCell ref="G13:I13"/>
    <mergeCell ref="J13:N13"/>
    <mergeCell ref="O13:P13"/>
    <mergeCell ref="Q13:R13"/>
    <mergeCell ref="K14:N14"/>
    <mergeCell ref="A15:B15"/>
    <mergeCell ref="C15:F15"/>
    <mergeCell ref="K15:N15"/>
  </mergeCells>
  <dataValidations count="1">
    <dataValidation type="list" allowBlank="1" showInputMessage="1" showErrorMessage="1" sqref="K5:O7" xr:uid="{F1FC0E92-13C4-4838-9957-33F9D6C02D55}">
      <formula1>"Si, No"</formula1>
    </dataValidation>
  </dataValidations>
  <hyperlinks>
    <hyperlink ref="A1" location="'Objetos de Dominio'!A1" display="Volver al inicio" xr:uid="{43BC5B96-24C0-4AAD-9A29-683D1B024288}"/>
    <hyperlink ref="A1:P1" location="'Listado Objetos de Dominio'!A1" display="&lt;-Volver al inicio" xr:uid="{AB31816E-8513-42BD-BE44-2C0F9A5E45C2}"/>
    <hyperlink ref="C11" location="'Estado'!A7" display="=A7" xr:uid="{950B8B1A-150A-4CE9-8341-D94BB12307B3}"/>
    <hyperlink ref="Q4" location="'Genero'!A14" display="=A14" xr:uid="{619C0B02-9C1F-497C-9CD3-730DA9374F10}"/>
    <hyperlink ref="A15:B15" location="'Estado'!Q4" display="Consultar Estado" xr:uid="{4424F4A0-92F5-47D2-A7A0-BCC1E8E96233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3665F9B-3696-4B21-8108-4A720D0B6CD3}">
          <x14:formula1>
            <xm:f>Valores!$A$3:$A$10</xm:f>
          </x14:formula1>
          <xm:sqref>Q5:Q7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959CD-C6D3-426C-858A-92D889B0C075}">
  <dimension ref="A1:R18"/>
  <sheetViews>
    <sheetView workbookViewId="0">
      <pane ySplit="2" topLeftCell="A3" activePane="bottomLeft" state="frozen"/>
      <selection pane="bottomLeft" activeCell="N21" sqref="N21"/>
    </sheetView>
  </sheetViews>
  <sheetFormatPr defaultColWidth="11.42578125" defaultRowHeight="15"/>
  <cols>
    <col min="1" max="1" width="23.85546875" style="57" bestFit="1" customWidth="1"/>
    <col min="2" max="2" width="20.5703125" style="57" customWidth="1"/>
    <col min="3" max="3" width="18.7109375" style="57" bestFit="1" customWidth="1"/>
    <col min="4" max="4" width="18.85546875" style="57" bestFit="1" customWidth="1"/>
    <col min="5" max="5" width="11.5703125" style="57" bestFit="1" customWidth="1"/>
    <col min="6" max="6" width="15.28515625" style="57" bestFit="1" customWidth="1"/>
    <col min="7" max="7" width="28.5703125" style="57" bestFit="1" customWidth="1"/>
    <col min="8" max="8" width="33.28515625" style="57" customWidth="1"/>
    <col min="9" max="9" width="79.28515625" style="57" bestFit="1" customWidth="1"/>
    <col min="10" max="10" width="18.140625" style="57" bestFit="1" customWidth="1"/>
    <col min="11" max="11" width="19.28515625" style="57" bestFit="1" customWidth="1"/>
    <col min="12" max="12" width="14.42578125" style="57" bestFit="1" customWidth="1"/>
    <col min="13" max="13" width="15.7109375" style="57" bestFit="1" customWidth="1"/>
    <col min="14" max="14" width="12.85546875" style="57" bestFit="1" customWidth="1"/>
    <col min="15" max="15" width="25" style="57" bestFit="1" customWidth="1"/>
    <col min="16" max="16" width="94.42578125" style="57" bestFit="1" customWidth="1"/>
    <col min="17" max="17" width="17.85546875" style="57" bestFit="1" customWidth="1"/>
    <col min="18" max="18" width="46.42578125" style="57" bestFit="1" customWidth="1"/>
    <col min="19" max="19" width="50.140625" style="57" bestFit="1" customWidth="1"/>
    <col min="20" max="20" width="52.28515625" style="57" bestFit="1" customWidth="1"/>
    <col min="21" max="16384" width="11.42578125" style="57"/>
  </cols>
  <sheetData>
    <row r="1" spans="1:18">
      <c r="A1" s="245" t="s">
        <v>57</v>
      </c>
      <c r="B1" s="245"/>
      <c r="C1" s="245"/>
      <c r="D1" s="245"/>
      <c r="E1" s="245"/>
      <c r="F1" s="245"/>
      <c r="G1" s="245"/>
      <c r="H1" s="245"/>
      <c r="I1" s="245"/>
      <c r="J1" s="245"/>
      <c r="K1" s="245"/>
      <c r="L1" s="245"/>
      <c r="M1" s="245"/>
      <c r="N1" s="245"/>
      <c r="O1" s="245"/>
      <c r="P1" s="245"/>
    </row>
    <row r="2" spans="1:18">
      <c r="A2" s="62" t="s">
        <v>58</v>
      </c>
      <c r="B2" s="196" t="str">
        <f>'Listado Objetos de Dominio'!A17</f>
        <v>Genero</v>
      </c>
      <c r="C2" s="196"/>
      <c r="D2" s="196"/>
      <c r="E2" s="196"/>
      <c r="F2" s="196"/>
      <c r="G2" s="196"/>
      <c r="H2" s="196"/>
      <c r="I2" s="196"/>
      <c r="J2" s="196"/>
      <c r="K2" s="196"/>
      <c r="L2" s="196"/>
      <c r="M2" s="196"/>
      <c r="N2" s="196"/>
      <c r="O2" s="196"/>
      <c r="P2" s="196"/>
    </row>
    <row r="3" spans="1:18">
      <c r="A3" s="62" t="s">
        <v>59</v>
      </c>
      <c r="B3" s="196" t="str">
        <f>'Listado Objetos de Dominio'!B17</f>
        <v>Objeto que contiene el género</v>
      </c>
      <c r="C3" s="196"/>
      <c r="D3" s="196"/>
      <c r="E3" s="196"/>
      <c r="F3" s="196"/>
      <c r="G3" s="196"/>
      <c r="H3" s="196"/>
      <c r="I3" s="196"/>
      <c r="J3" s="196"/>
      <c r="K3" s="196"/>
      <c r="L3" s="196"/>
      <c r="M3" s="196"/>
      <c r="N3" s="196"/>
      <c r="O3" s="196"/>
      <c r="P3" s="196"/>
    </row>
    <row r="4" spans="1:18">
      <c r="A4" s="63" t="s">
        <v>60</v>
      </c>
      <c r="B4" s="10" t="s">
        <v>61</v>
      </c>
      <c r="C4" s="10" t="s">
        <v>62</v>
      </c>
      <c r="D4" s="10" t="s">
        <v>63</v>
      </c>
      <c r="E4" s="10" t="s">
        <v>64</v>
      </c>
      <c r="F4" s="10" t="s">
        <v>65</v>
      </c>
      <c r="G4" s="10" t="s">
        <v>66</v>
      </c>
      <c r="H4" s="10" t="s">
        <v>67</v>
      </c>
      <c r="I4" s="10" t="s">
        <v>68</v>
      </c>
      <c r="J4" s="10" t="s">
        <v>69</v>
      </c>
      <c r="K4" s="10" t="s">
        <v>70</v>
      </c>
      <c r="L4" s="10" t="s">
        <v>71</v>
      </c>
      <c r="M4" s="10" t="s">
        <v>72</v>
      </c>
      <c r="N4" s="10" t="s">
        <v>73</v>
      </c>
      <c r="O4" s="10" t="s">
        <v>74</v>
      </c>
      <c r="P4" s="80" t="s">
        <v>2</v>
      </c>
      <c r="Q4" s="186" t="str">
        <f>A14</f>
        <v>Listar Géneros</v>
      </c>
      <c r="R4" s="186" t="str">
        <f>A16</f>
        <v>Proveer Género</v>
      </c>
    </row>
    <row r="5" spans="1:18" ht="33.75" customHeight="1">
      <c r="A5" s="64" t="s">
        <v>75</v>
      </c>
      <c r="B5" s="7" t="s">
        <v>76</v>
      </c>
      <c r="C5" s="7">
        <v>36</v>
      </c>
      <c r="D5" s="7">
        <v>36</v>
      </c>
      <c r="E5" s="7"/>
      <c r="F5" s="7"/>
      <c r="G5" s="7"/>
      <c r="H5" s="7" t="s">
        <v>77</v>
      </c>
      <c r="I5" s="7"/>
      <c r="J5" s="13" t="s">
        <v>579</v>
      </c>
      <c r="K5" s="67" t="s">
        <v>15</v>
      </c>
      <c r="L5" s="7" t="s">
        <v>17</v>
      </c>
      <c r="M5" s="7" t="s">
        <v>15</v>
      </c>
      <c r="N5" s="7" t="s">
        <v>17</v>
      </c>
      <c r="O5" s="7" t="s">
        <v>15</v>
      </c>
      <c r="P5" s="81" t="s">
        <v>637</v>
      </c>
      <c r="Q5" s="183" t="s">
        <v>11</v>
      </c>
      <c r="R5" s="183" t="s">
        <v>13</v>
      </c>
    </row>
    <row r="6" spans="1:18" ht="27">
      <c r="A6" s="64" t="s">
        <v>79</v>
      </c>
      <c r="B6" s="7" t="s">
        <v>300</v>
      </c>
      <c r="C6" s="7">
        <v>2</v>
      </c>
      <c r="D6" s="7">
        <v>50</v>
      </c>
      <c r="E6" s="7"/>
      <c r="F6" s="7"/>
      <c r="G6" s="7"/>
      <c r="H6" s="7" t="s">
        <v>81</v>
      </c>
      <c r="I6" s="7"/>
      <c r="J6" s="13" t="s">
        <v>579</v>
      </c>
      <c r="K6" s="67" t="s">
        <v>17</v>
      </c>
      <c r="L6" s="7" t="s">
        <v>17</v>
      </c>
      <c r="M6" s="7" t="s">
        <v>15</v>
      </c>
      <c r="N6" s="7" t="s">
        <v>17</v>
      </c>
      <c r="O6" s="7" t="s">
        <v>15</v>
      </c>
      <c r="P6" s="81" t="s">
        <v>652</v>
      </c>
      <c r="Q6" s="183" t="s">
        <v>13</v>
      </c>
      <c r="R6" s="183" t="s">
        <v>11</v>
      </c>
    </row>
    <row r="8" spans="1:18">
      <c r="A8" s="281" t="s">
        <v>99</v>
      </c>
      <c r="B8" s="282"/>
      <c r="C8" s="283"/>
    </row>
    <row r="9" spans="1:18">
      <c r="A9" s="65" t="s">
        <v>100</v>
      </c>
      <c r="B9" s="61" t="s">
        <v>2</v>
      </c>
      <c r="C9" s="69" t="s">
        <v>101</v>
      </c>
    </row>
    <row r="10" spans="1:18" ht="39" customHeight="1">
      <c r="A10" s="66" t="s">
        <v>102</v>
      </c>
      <c r="B10" s="15" t="s">
        <v>653</v>
      </c>
      <c r="C10" s="70" t="str">
        <f>A6</f>
        <v>nombre</v>
      </c>
    </row>
    <row r="12" spans="1:18">
      <c r="A12" s="251" t="s">
        <v>106</v>
      </c>
      <c r="B12" s="252"/>
      <c r="C12" s="252" t="s">
        <v>2</v>
      </c>
      <c r="D12" s="252"/>
      <c r="E12" s="252"/>
      <c r="F12" s="252"/>
      <c r="G12" s="252" t="s">
        <v>107</v>
      </c>
      <c r="H12" s="252"/>
      <c r="I12" s="252"/>
      <c r="J12" s="252" t="s">
        <v>108</v>
      </c>
      <c r="K12" s="252"/>
      <c r="L12" s="252"/>
      <c r="M12" s="252"/>
      <c r="N12" s="252"/>
      <c r="O12" s="252" t="s">
        <v>109</v>
      </c>
      <c r="P12" s="252"/>
      <c r="Q12" s="252" t="s">
        <v>185</v>
      </c>
      <c r="R12" s="257"/>
    </row>
    <row r="13" spans="1:18">
      <c r="A13" s="253"/>
      <c r="B13" s="254"/>
      <c r="C13" s="254"/>
      <c r="D13" s="254"/>
      <c r="E13" s="254"/>
      <c r="F13" s="254"/>
      <c r="G13" s="76" t="s">
        <v>110</v>
      </c>
      <c r="H13" s="76" t="s">
        <v>111</v>
      </c>
      <c r="I13" s="76" t="s">
        <v>2</v>
      </c>
      <c r="J13" s="76" t="s">
        <v>61</v>
      </c>
      <c r="K13" s="254" t="s">
        <v>2</v>
      </c>
      <c r="L13" s="254"/>
      <c r="M13" s="254"/>
      <c r="N13" s="254"/>
      <c r="O13" s="76" t="s">
        <v>112</v>
      </c>
      <c r="P13" s="76" t="s">
        <v>2</v>
      </c>
      <c r="Q13" s="76" t="s">
        <v>113</v>
      </c>
      <c r="R13" s="100" t="s">
        <v>114</v>
      </c>
    </row>
    <row r="14" spans="1:18" s="90" customFormat="1" ht="15" customHeight="1">
      <c r="A14" s="238" t="s">
        <v>654</v>
      </c>
      <c r="B14" s="238"/>
      <c r="C14" s="237" t="s">
        <v>655</v>
      </c>
      <c r="D14" s="237"/>
      <c r="E14" s="237"/>
      <c r="F14" s="237"/>
      <c r="G14" s="237"/>
      <c r="H14" s="237"/>
      <c r="I14" s="237" t="s">
        <v>608</v>
      </c>
      <c r="J14" s="237" t="s">
        <v>119</v>
      </c>
      <c r="K14" s="237" t="s">
        <v>656</v>
      </c>
      <c r="L14" s="237"/>
      <c r="M14" s="237"/>
      <c r="N14" s="237"/>
      <c r="O14" s="182" t="s">
        <v>657</v>
      </c>
      <c r="P14" s="185" t="s">
        <v>595</v>
      </c>
      <c r="Q14" s="185" t="s">
        <v>500</v>
      </c>
      <c r="R14" s="185" t="s">
        <v>501</v>
      </c>
    </row>
    <row r="15" spans="1:18" ht="30.75">
      <c r="A15" s="243"/>
      <c r="B15" s="243"/>
      <c r="C15" s="240"/>
      <c r="D15" s="240"/>
      <c r="E15" s="240"/>
      <c r="F15" s="240"/>
      <c r="G15" s="240"/>
      <c r="H15" s="240"/>
      <c r="I15" s="240"/>
      <c r="J15" s="240"/>
      <c r="K15" s="240"/>
      <c r="L15" s="240"/>
      <c r="M15" s="240"/>
      <c r="N15" s="240"/>
      <c r="O15" s="187" t="s">
        <v>658</v>
      </c>
      <c r="P15" s="188" t="s">
        <v>659</v>
      </c>
      <c r="Q15" s="188" t="s">
        <v>236</v>
      </c>
      <c r="R15" s="188" t="s">
        <v>237</v>
      </c>
    </row>
    <row r="16" spans="1:18" ht="37.5" customHeight="1">
      <c r="A16" s="234" t="s">
        <v>660</v>
      </c>
      <c r="B16" s="229"/>
      <c r="C16" s="307" t="s">
        <v>661</v>
      </c>
      <c r="D16" s="308"/>
      <c r="E16" s="308"/>
      <c r="F16" s="309"/>
      <c r="G16" s="240" t="s">
        <v>125</v>
      </c>
      <c r="H16" s="240" t="s">
        <v>80</v>
      </c>
      <c r="I16" s="240" t="s">
        <v>662</v>
      </c>
      <c r="J16" s="240" t="s">
        <v>76</v>
      </c>
      <c r="K16" s="307" t="s">
        <v>663</v>
      </c>
      <c r="L16" s="308"/>
      <c r="M16" s="308"/>
      <c r="N16" s="309"/>
      <c r="O16" s="140" t="s">
        <v>664</v>
      </c>
      <c r="P16" s="120" t="s">
        <v>665</v>
      </c>
      <c r="Q16" s="237" t="s">
        <v>666</v>
      </c>
      <c r="R16" s="237" t="s">
        <v>667</v>
      </c>
    </row>
    <row r="17" spans="1:18" ht="31.5" customHeight="1">
      <c r="A17" s="236"/>
      <c r="B17" s="233"/>
      <c r="C17" s="313"/>
      <c r="D17" s="314"/>
      <c r="E17" s="314"/>
      <c r="F17" s="315"/>
      <c r="G17" s="306"/>
      <c r="H17" s="306"/>
      <c r="I17" s="306"/>
      <c r="J17" s="306"/>
      <c r="K17" s="313"/>
      <c r="L17" s="314"/>
      <c r="M17" s="314"/>
      <c r="N17" s="315"/>
      <c r="O17" s="140" t="s">
        <v>668</v>
      </c>
      <c r="P17" s="120" t="s">
        <v>669</v>
      </c>
      <c r="Q17" s="237"/>
      <c r="R17" s="237"/>
    </row>
    <row r="18" spans="1:18" ht="15" customHeight="1"/>
  </sheetData>
  <mergeCells count="27">
    <mergeCell ref="R16:R17"/>
    <mergeCell ref="H14:H15"/>
    <mergeCell ref="G14:G15"/>
    <mergeCell ref="C14:F15"/>
    <mergeCell ref="A14:B15"/>
    <mergeCell ref="Q16:Q17"/>
    <mergeCell ref="Q12:R12"/>
    <mergeCell ref="K13:N13"/>
    <mergeCell ref="K14:N15"/>
    <mergeCell ref="J14:J15"/>
    <mergeCell ref="I14:I15"/>
    <mergeCell ref="A1:P1"/>
    <mergeCell ref="B2:P2"/>
    <mergeCell ref="B3:P3"/>
    <mergeCell ref="A8:C8"/>
    <mergeCell ref="A12:B13"/>
    <mergeCell ref="C12:F13"/>
    <mergeCell ref="G12:I12"/>
    <mergeCell ref="J12:N12"/>
    <mergeCell ref="O12:P12"/>
    <mergeCell ref="J16:J17"/>
    <mergeCell ref="K16:N17"/>
    <mergeCell ref="C16:F17"/>
    <mergeCell ref="A16:B17"/>
    <mergeCell ref="G16:G17"/>
    <mergeCell ref="H16:H17"/>
    <mergeCell ref="I16:I17"/>
  </mergeCells>
  <dataValidations count="1">
    <dataValidation type="list" allowBlank="1" showInputMessage="1" showErrorMessage="1" sqref="K5:O6" xr:uid="{44D5D4F7-78DD-4530-BF9C-8C4628E69FF7}">
      <formula1>"Si, No"</formula1>
    </dataValidation>
  </dataValidations>
  <hyperlinks>
    <hyperlink ref="A1" location="'Objetos de Dominio'!A1" display="Volver al inicio" xr:uid="{A1996ABE-CDEC-42D5-A41B-EDA70DFB8163}"/>
    <hyperlink ref="A1:P1" location="'Listado Objetos de Dominio'!A1" display="&lt;-Volver al inicio" xr:uid="{17BA6016-AE85-4E7F-BD0A-F12A7296C78F}"/>
    <hyperlink ref="C10" location="'Genero'!A6" display="=A6" xr:uid="{673AE626-D772-4008-A7BF-B5F62AC8B23B}"/>
    <hyperlink ref="Q4" location="'Genero'!A14" display="=A14" xr:uid="{F3D3C5FD-5432-4188-9D44-DB494E3556F2}"/>
    <hyperlink ref="A14:B15" location="'Genero'!Q4" display="Listar Géneros" xr:uid="{2452255D-2751-4579-AD71-AA31D996B2AD}"/>
    <hyperlink ref="A16:B17" location="'Genero'!R4" display="Proveer Género" xr:uid="{CF66194B-5B50-4059-927C-487CD778C868}"/>
    <hyperlink ref="R4" location="'Genero'!A16" display="a16" xr:uid="{0D431B6C-9465-4033-910B-DBAF7B443189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498159D-3E35-4FEB-9FCB-D1DB0B43151E}">
          <x14:formula1>
            <xm:f>Valores!$A$3:$A$10</xm:f>
          </x14:formula1>
          <xm:sqref>Q5:R6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3D88CD-1BA6-4157-9522-8201A0FEDE3C}">
  <dimension ref="A1:T19"/>
  <sheetViews>
    <sheetView zoomScale="70" zoomScaleNormal="70" workbookViewId="0">
      <selection activeCell="Q4" sqref="Q4"/>
    </sheetView>
  </sheetViews>
  <sheetFormatPr defaultColWidth="11.42578125" defaultRowHeight="15"/>
  <cols>
    <col min="1" max="1" width="23.85546875" style="1" bestFit="1" customWidth="1"/>
    <col min="2" max="2" width="15.28515625" style="1" bestFit="1" customWidth="1"/>
    <col min="3" max="3" width="18.7109375" style="1" bestFit="1" customWidth="1"/>
    <col min="4" max="4" width="18.85546875" style="1" bestFit="1" customWidth="1"/>
    <col min="5" max="5" width="11.5703125" style="1" bestFit="1" customWidth="1"/>
    <col min="6" max="6" width="15.28515625" style="1" bestFit="1" customWidth="1"/>
    <col min="7" max="7" width="28.5703125" style="1" bestFit="1" customWidth="1"/>
    <col min="8" max="8" width="16.85546875" style="1" bestFit="1" customWidth="1"/>
    <col min="9" max="9" width="79.28515625" style="1" bestFit="1" customWidth="1"/>
    <col min="10" max="10" width="18.140625" style="1" bestFit="1" customWidth="1"/>
    <col min="11" max="11" width="19.28515625" style="1" bestFit="1" customWidth="1"/>
    <col min="12" max="12" width="14.42578125" style="1" bestFit="1" customWidth="1"/>
    <col min="13" max="13" width="15.7109375" style="1" bestFit="1" customWidth="1"/>
    <col min="14" max="14" width="12.85546875" style="1" bestFit="1" customWidth="1"/>
    <col min="15" max="15" width="25" style="1" bestFit="1" customWidth="1"/>
    <col min="16" max="16" width="94.42578125" style="1" bestFit="1" customWidth="1"/>
    <col min="17" max="17" width="132.5703125" style="1" bestFit="1" customWidth="1"/>
    <col min="18" max="18" width="46.42578125" style="1" bestFit="1" customWidth="1"/>
    <col min="19" max="19" width="50.140625" style="1" bestFit="1" customWidth="1"/>
    <col min="20" max="20" width="66.85546875" style="1" bestFit="1" customWidth="1"/>
    <col min="21" max="21" width="52.28515625" style="1" bestFit="1" customWidth="1"/>
    <col min="22" max="16384" width="11.42578125" style="1"/>
  </cols>
  <sheetData>
    <row r="1" spans="1:20">
      <c r="A1" s="194" t="s">
        <v>57</v>
      </c>
      <c r="B1" s="194"/>
      <c r="C1" s="194"/>
      <c r="D1" s="194"/>
      <c r="E1" s="194"/>
      <c r="F1" s="194"/>
      <c r="G1" s="194"/>
      <c r="H1" s="194"/>
      <c r="I1" s="194"/>
      <c r="J1" s="194"/>
      <c r="K1" s="194"/>
      <c r="L1" s="194"/>
      <c r="M1" s="194"/>
      <c r="N1" s="194"/>
      <c r="O1" s="194"/>
      <c r="P1" s="194"/>
    </row>
    <row r="2" spans="1:20">
      <c r="A2" s="4" t="s">
        <v>58</v>
      </c>
      <c r="B2" s="195" t="str">
        <f>'Listado Objetos de Dominio'!$A$9</f>
        <v>Entrenamiento Cognitivo</v>
      </c>
      <c r="C2" s="195"/>
      <c r="D2" s="195"/>
      <c r="E2" s="195"/>
      <c r="F2" s="195"/>
      <c r="G2" s="195"/>
      <c r="H2" s="195"/>
      <c r="I2" s="195"/>
      <c r="J2" s="195"/>
      <c r="K2" s="195"/>
      <c r="L2" s="195"/>
      <c r="M2" s="195"/>
      <c r="N2" s="195"/>
      <c r="O2" s="195"/>
      <c r="P2" s="195"/>
    </row>
    <row r="3" spans="1:20" ht="15.75" thickBot="1">
      <c r="A3" s="4" t="s">
        <v>59</v>
      </c>
      <c r="B3" s="196" t="str">
        <f>'Listado Objetos de Dominio'!$B$9</f>
        <v>Objeto de dominio encargado de contener el plan de entrenamiento que desarrolla el estudiante</v>
      </c>
      <c r="C3" s="196"/>
      <c r="D3" s="196"/>
      <c r="E3" s="196"/>
      <c r="F3" s="196"/>
      <c r="G3" s="196"/>
      <c r="H3" s="196"/>
      <c r="I3" s="196"/>
      <c r="J3" s="196"/>
      <c r="K3" s="196"/>
      <c r="L3" s="196"/>
      <c r="M3" s="196"/>
      <c r="N3" s="196"/>
      <c r="O3" s="196"/>
      <c r="P3" s="196"/>
    </row>
    <row r="4" spans="1:20">
      <c r="A4" s="8" t="s">
        <v>60</v>
      </c>
      <c r="B4" s="9" t="s">
        <v>61</v>
      </c>
      <c r="C4" s="9" t="s">
        <v>62</v>
      </c>
      <c r="D4" s="9" t="s">
        <v>63</v>
      </c>
      <c r="E4" s="9" t="s">
        <v>64</v>
      </c>
      <c r="F4" s="9" t="s">
        <v>65</v>
      </c>
      <c r="G4" s="9" t="s">
        <v>66</v>
      </c>
      <c r="H4" s="9" t="s">
        <v>67</v>
      </c>
      <c r="I4" s="9" t="s">
        <v>68</v>
      </c>
      <c r="J4" s="9" t="s">
        <v>69</v>
      </c>
      <c r="K4" s="9" t="s">
        <v>70</v>
      </c>
      <c r="L4" s="9" t="s">
        <v>71</v>
      </c>
      <c r="M4" s="9" t="s">
        <v>72</v>
      </c>
      <c r="N4" s="9" t="s">
        <v>73</v>
      </c>
      <c r="O4" s="9" t="s">
        <v>74</v>
      </c>
      <c r="P4" s="10" t="s">
        <v>2</v>
      </c>
      <c r="Q4" s="37" t="str">
        <f>A16</f>
        <v>Responsabilidad 1</v>
      </c>
      <c r="R4" s="35" t="str">
        <f>A17</f>
        <v>Responsabilidad 2</v>
      </c>
      <c r="S4" s="36" t="str">
        <f>A18</f>
        <v>Responsabilidad 3</v>
      </c>
      <c r="T4" s="2" t="str">
        <f>A19</f>
        <v>Responsabilidad 4</v>
      </c>
    </row>
    <row r="5" spans="1:20">
      <c r="A5" s="11"/>
      <c r="B5" s="5"/>
      <c r="C5" s="5"/>
      <c r="D5" s="5"/>
      <c r="E5" s="5"/>
      <c r="F5" s="5"/>
      <c r="G5" s="5"/>
      <c r="H5" s="5"/>
      <c r="I5" s="5"/>
      <c r="J5" s="13"/>
      <c r="K5" s="12"/>
      <c r="L5" s="5"/>
      <c r="M5" s="5"/>
      <c r="N5" s="5"/>
      <c r="O5" s="5"/>
      <c r="P5" s="7"/>
      <c r="Q5" s="34"/>
      <c r="R5" s="23"/>
      <c r="S5" s="28"/>
      <c r="T5" s="31"/>
    </row>
    <row r="6" spans="1:20">
      <c r="A6" s="11"/>
      <c r="B6" s="5"/>
      <c r="C6" s="5"/>
      <c r="D6" s="5"/>
      <c r="E6" s="5"/>
      <c r="F6" s="5"/>
      <c r="G6" s="5"/>
      <c r="H6" s="5"/>
      <c r="I6" s="5"/>
      <c r="J6" s="13"/>
      <c r="K6" s="12"/>
      <c r="L6" s="5"/>
      <c r="M6" s="5"/>
      <c r="N6" s="5"/>
      <c r="O6" s="5"/>
      <c r="P6" s="7"/>
      <c r="Q6" s="34"/>
      <c r="R6" s="23"/>
      <c r="S6" s="28"/>
      <c r="T6" s="31"/>
    </row>
    <row r="7" spans="1:20">
      <c r="A7" s="11"/>
      <c r="B7" s="5"/>
      <c r="C7" s="5"/>
      <c r="D7" s="5"/>
      <c r="E7" s="5"/>
      <c r="F7" s="5"/>
      <c r="G7" s="5"/>
      <c r="H7" s="5"/>
      <c r="I7" s="5"/>
      <c r="J7" s="6"/>
      <c r="K7" s="5"/>
      <c r="L7" s="5"/>
      <c r="M7" s="5"/>
      <c r="N7" s="5"/>
      <c r="O7" s="5"/>
      <c r="P7" s="7"/>
      <c r="Q7" s="34"/>
      <c r="R7" s="23"/>
      <c r="S7" s="28"/>
      <c r="T7" s="31"/>
    </row>
    <row r="8" spans="1:20">
      <c r="A8" s="11"/>
      <c r="B8" s="5"/>
      <c r="C8" s="5"/>
      <c r="D8" s="5"/>
      <c r="E8" s="5"/>
      <c r="F8" s="5"/>
      <c r="G8" s="5"/>
      <c r="H8" s="5"/>
      <c r="I8" s="5"/>
      <c r="J8" s="6"/>
      <c r="K8" s="5"/>
      <c r="L8" s="5"/>
      <c r="M8" s="5"/>
      <c r="N8" s="5"/>
      <c r="O8" s="5"/>
      <c r="P8" s="7"/>
      <c r="Q8" s="34"/>
      <c r="R8" s="23"/>
      <c r="S8" s="28"/>
      <c r="T8" s="31"/>
    </row>
    <row r="9" spans="1:20" ht="15.75" thickBot="1"/>
    <row r="10" spans="1:20">
      <c r="A10" s="340" t="s">
        <v>99</v>
      </c>
      <c r="B10" s="341"/>
      <c r="C10" s="342"/>
    </row>
    <row r="11" spans="1:20">
      <c r="A11" s="17" t="s">
        <v>100</v>
      </c>
      <c r="B11" s="16" t="s">
        <v>2</v>
      </c>
      <c r="C11" s="18" t="s">
        <v>101</v>
      </c>
    </row>
    <row r="12" spans="1:20" ht="39" customHeight="1" thickBot="1">
      <c r="A12" s="14"/>
      <c r="B12" s="15"/>
      <c r="C12" s="38"/>
    </row>
    <row r="13" spans="1:20" ht="15.75" thickBot="1"/>
    <row r="14" spans="1:20">
      <c r="A14" s="200" t="s">
        <v>106</v>
      </c>
      <c r="B14" s="201"/>
      <c r="C14" s="201" t="s">
        <v>2</v>
      </c>
      <c r="D14" s="201"/>
      <c r="E14" s="201"/>
      <c r="F14" s="201"/>
      <c r="G14" s="201" t="s">
        <v>107</v>
      </c>
      <c r="H14" s="201"/>
      <c r="I14" s="201"/>
      <c r="J14" s="201" t="s">
        <v>108</v>
      </c>
      <c r="K14" s="201"/>
      <c r="L14" s="201"/>
      <c r="M14" s="201"/>
      <c r="N14" s="201"/>
      <c r="O14" s="201" t="s">
        <v>109</v>
      </c>
      <c r="P14" s="201"/>
      <c r="Q14" s="201" t="s">
        <v>185</v>
      </c>
      <c r="R14" s="343"/>
    </row>
    <row r="15" spans="1:20">
      <c r="A15" s="352"/>
      <c r="B15" s="344"/>
      <c r="C15" s="344"/>
      <c r="D15" s="344"/>
      <c r="E15" s="344"/>
      <c r="F15" s="344"/>
      <c r="G15" s="19" t="s">
        <v>110</v>
      </c>
      <c r="H15" s="19" t="s">
        <v>111</v>
      </c>
      <c r="I15" s="19" t="s">
        <v>2</v>
      </c>
      <c r="J15" s="19" t="s">
        <v>61</v>
      </c>
      <c r="K15" s="344" t="s">
        <v>2</v>
      </c>
      <c r="L15" s="344"/>
      <c r="M15" s="344"/>
      <c r="N15" s="344"/>
      <c r="O15" s="19" t="s">
        <v>112</v>
      </c>
      <c r="P15" s="19" t="s">
        <v>2</v>
      </c>
      <c r="Q15" s="19" t="s">
        <v>113</v>
      </c>
      <c r="R15" s="25" t="s">
        <v>114</v>
      </c>
    </row>
    <row r="16" spans="1:20">
      <c r="A16" s="345" t="s">
        <v>670</v>
      </c>
      <c r="B16" s="346"/>
      <c r="C16" s="347"/>
      <c r="D16" s="347"/>
      <c r="E16" s="347"/>
      <c r="F16" s="347"/>
      <c r="G16" s="20"/>
      <c r="H16" s="21"/>
      <c r="I16" s="22"/>
      <c r="J16" s="21"/>
      <c r="K16" s="347"/>
      <c r="L16" s="347"/>
      <c r="M16" s="347"/>
      <c r="N16" s="347"/>
      <c r="O16" s="20"/>
      <c r="P16" s="20"/>
      <c r="Q16" s="20"/>
      <c r="R16" s="26"/>
    </row>
    <row r="17" spans="1:18">
      <c r="A17" s="348" t="s">
        <v>671</v>
      </c>
      <c r="B17" s="349"/>
      <c r="C17" s="350"/>
      <c r="D17" s="350"/>
      <c r="E17" s="350"/>
      <c r="F17" s="350"/>
      <c r="G17" s="46"/>
      <c r="H17" s="44"/>
      <c r="I17" s="45"/>
      <c r="J17" s="39"/>
      <c r="K17" s="351"/>
      <c r="L17" s="351"/>
      <c r="M17" s="351"/>
      <c r="N17" s="351"/>
      <c r="O17" s="23"/>
      <c r="P17" s="24"/>
      <c r="Q17" s="24"/>
      <c r="R17" s="27"/>
    </row>
    <row r="18" spans="1:18">
      <c r="A18" s="358" t="s">
        <v>672</v>
      </c>
      <c r="B18" s="359"/>
      <c r="C18" s="360"/>
      <c r="D18" s="360"/>
      <c r="E18" s="360"/>
      <c r="F18" s="360"/>
      <c r="G18" s="42"/>
      <c r="H18" s="40"/>
      <c r="I18" s="41"/>
      <c r="J18" s="43"/>
      <c r="K18" s="353"/>
      <c r="L18" s="353"/>
      <c r="M18" s="353"/>
      <c r="N18" s="353"/>
      <c r="O18" s="28"/>
      <c r="P18" s="29"/>
      <c r="Q18" s="29"/>
      <c r="R18" s="30"/>
    </row>
    <row r="19" spans="1:18">
      <c r="A19" s="354" t="s">
        <v>673</v>
      </c>
      <c r="B19" s="355"/>
      <c r="C19" s="356"/>
      <c r="D19" s="356"/>
      <c r="E19" s="356"/>
      <c r="F19" s="356"/>
      <c r="G19" s="48"/>
      <c r="H19" s="49"/>
      <c r="I19" s="47"/>
      <c r="J19" s="48"/>
      <c r="K19" s="357"/>
      <c r="L19" s="357"/>
      <c r="M19" s="357"/>
      <c r="N19" s="357"/>
      <c r="O19" s="31"/>
      <c r="P19" s="32"/>
      <c r="Q19" s="32"/>
      <c r="R19" s="33"/>
    </row>
  </sheetData>
  <mergeCells count="23">
    <mergeCell ref="K18:N18"/>
    <mergeCell ref="A19:B19"/>
    <mergeCell ref="C19:F19"/>
    <mergeCell ref="K19:N19"/>
    <mergeCell ref="A18:B18"/>
    <mergeCell ref="C18:F18"/>
    <mergeCell ref="A17:B17"/>
    <mergeCell ref="C17:F17"/>
    <mergeCell ref="K17:N17"/>
    <mergeCell ref="A14:B15"/>
    <mergeCell ref="C14:F15"/>
    <mergeCell ref="G14:I14"/>
    <mergeCell ref="J14:N14"/>
    <mergeCell ref="Q14:R14"/>
    <mergeCell ref="K15:N15"/>
    <mergeCell ref="A16:B16"/>
    <mergeCell ref="C16:F16"/>
    <mergeCell ref="K16:N16"/>
    <mergeCell ref="A1:P1"/>
    <mergeCell ref="B2:P2"/>
    <mergeCell ref="B3:P3"/>
    <mergeCell ref="A10:C10"/>
    <mergeCell ref="O14:P14"/>
  </mergeCells>
  <hyperlinks>
    <hyperlink ref="A1" location="'Objetos de Dominio'!A1" display="Volver al inicio" xr:uid="{0B6B7A21-4F42-4461-B988-DE8CBBB8B21F}"/>
    <hyperlink ref="H19" location="'Tipo Relación Institución'!A6" display="'Tipo Relación Institución'!A6" xr:uid="{A29B7F90-D824-4DAD-9FA9-495F9A36C796}"/>
    <hyperlink ref="R4" location="'Objeto Dominio N'!A17" display="'Objeto Dominio N'!A17" xr:uid="{E9D8D2B5-1A04-41BF-9815-B2A1291CEA12}"/>
    <hyperlink ref="S4" location="'Objeto Dominio N'!A18" display="'Objeto Dominio N'!A18" xr:uid="{43D6E7D0-C1EE-421C-81D4-88BA062E1DD3}"/>
    <hyperlink ref="T4" location="'Objeto Dominio N'!A19" display="'Objeto Dominio N'!A19" xr:uid="{DFFE25A9-85CA-4C20-92B1-340B3519D7CB}"/>
    <hyperlink ref="A17:B17" location="'Objeto Dominio N'!R4" display="Reponsabilidad 2" xr:uid="{CC437FE8-5439-4F9D-A213-37CD4CE40D61}"/>
    <hyperlink ref="A16:B16" location="'Objeto Dominio N'!Q4" display="Reponsabilidad 1" xr:uid="{569A762E-ABC8-4F9E-B1BC-206CEE185870}"/>
    <hyperlink ref="A19:B19" location="'Objeto Dominio N'!T4" display="Reponsabilidad 4" xr:uid="{8F16CC7B-78EA-40A1-B4A4-EFB8DF25A1CD}"/>
    <hyperlink ref="Q4" location="'Objeto Dominio N'!A16" display="'Objeto Dominio N'!A16" xr:uid="{1669EBF2-84DE-4EDB-8C3B-38EB8B625A26}"/>
    <hyperlink ref="A1:P1" location="'Listado Objetos de Dominio'!A1" display="&lt;-Volver al inicio" xr:uid="{BCAD9F6E-1607-4E0B-B462-EB54499EDC59}"/>
    <hyperlink ref="A18:B18" location="'Objeto Dominio N'!S4" display="Reponsabilidad 3" xr:uid="{4AEC65EE-67F5-4704-BC31-8B093F6B432C}"/>
  </hyperlinks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3168a39-8cd2-49bc-b1c5-42f933dcfd23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39E364CF2FAC646913FA2F6AF72DBE1" ma:contentTypeVersion="11" ma:contentTypeDescription="Crear nuevo documento." ma:contentTypeScope="" ma:versionID="25fd11a1a17d1b8cb394866972d60667">
  <xsd:schema xmlns:xsd="http://www.w3.org/2001/XMLSchema" xmlns:xs="http://www.w3.org/2001/XMLSchema" xmlns:p="http://schemas.microsoft.com/office/2006/metadata/properties" xmlns:ns2="d3168a39-8cd2-49bc-b1c5-42f933dcfd23" targetNamespace="http://schemas.microsoft.com/office/2006/metadata/properties" ma:root="true" ma:fieldsID="3dc67a3c67850591eca2c90353d69125" ns2:_="">
    <xsd:import namespace="d3168a39-8cd2-49bc-b1c5-42f933dcfd2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168a39-8cd2-49bc-b1c5-42f933dcfd2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c850c5f2-6130-4f77-91cc-24c70f9d5bd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2038022-656B-4A1B-A485-51A1972238BD}"/>
</file>

<file path=customXml/itemProps2.xml><?xml version="1.0" encoding="utf-8"?>
<ds:datastoreItem xmlns:ds="http://schemas.openxmlformats.org/officeDocument/2006/customXml" ds:itemID="{48E1809C-F2A0-4924-8E59-EB44BE994721}"/>
</file>

<file path=customXml/itemProps3.xml><?xml version="1.0" encoding="utf-8"?>
<ds:datastoreItem xmlns:ds="http://schemas.openxmlformats.org/officeDocument/2006/customXml" ds:itemID="{6724C681-8A04-4D66-BB1C-57F7466573C0}"/>
</file>

<file path=docMetadata/LabelInfo.xml><?xml version="1.0" encoding="utf-8"?>
<clbl:labelList xmlns:clbl="http://schemas.microsoft.com/office/2020/mipLabelMetadata">
  <clbl:label id="{86cab09b-e61a-4c01-96e7-67fc9e3d8cd5}" enabled="1" method="Standard" siteId="{bf1ce8b5-5d39-4bc5-ad6e-07b3e4d7d67a}" contentBits="8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Luciana Sánchez Arias</dc:creator>
  <cp:keywords/>
  <dc:description/>
  <cp:lastModifiedBy>Juan Jose Restrepo Valencia</cp:lastModifiedBy>
  <cp:revision/>
  <dcterms:created xsi:type="dcterms:W3CDTF">2023-03-15T04:00:09Z</dcterms:created>
  <dcterms:modified xsi:type="dcterms:W3CDTF">2025-07-13T20:16:08Z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MSIP_Label_86cab09b-e61a-4c01-96e7-67fc9e3d8cd5_Enabled">
    <vt:lpwstr>true</vt:lpwstr>
  </property>
  <property fmtid="{D5CDD505-2E9C-101B-9397-08002B2CF9AE}" pid="5" name="MSIP_Label_86cab09b-e61a-4c01-96e7-67fc9e3d8cd5_SetDate">
    <vt:lpwstr>2023-03-15T04:21:21Z</vt:lpwstr>
  </property>
  <property fmtid="{D5CDD505-2E9C-101B-9397-08002B2CF9AE}" pid="6" name="MSIP_Label_86cab09b-e61a-4c01-96e7-67fc9e3d8cd5_Method">
    <vt:lpwstr>Standard</vt:lpwstr>
  </property>
  <property fmtid="{D5CDD505-2E9C-101B-9397-08002B2CF9AE}" pid="7" name="MSIP_Label_86cab09b-e61a-4c01-96e7-67fc9e3d8cd5_Name">
    <vt:lpwstr>Todos los Empleados</vt:lpwstr>
  </property>
  <property fmtid="{D5CDD505-2E9C-101B-9397-08002B2CF9AE}" pid="8" name="MSIP_Label_86cab09b-e61a-4c01-96e7-67fc9e3d8cd5_SiteId">
    <vt:lpwstr>bf1ce8b5-5d39-4bc5-ad6e-07b3e4d7d67a</vt:lpwstr>
  </property>
  <property fmtid="{D5CDD505-2E9C-101B-9397-08002B2CF9AE}" pid="9" name="MSIP_Label_86cab09b-e61a-4c01-96e7-67fc9e3d8cd5_ActionId">
    <vt:lpwstr>1284b033-3469-4be1-8291-3532cb7ee350</vt:lpwstr>
  </property>
  <property fmtid="{D5CDD505-2E9C-101B-9397-08002B2CF9AE}" pid="10" name="MSIP_Label_86cab09b-e61a-4c01-96e7-67fc9e3d8cd5_ContentBits">
    <vt:lpwstr>8</vt:lpwstr>
  </property>
  <property fmtid="{D5CDD505-2E9C-101B-9397-08002B2CF9AE}" pid="11" name="ContentTypeId">
    <vt:lpwstr>0x010100339E364CF2FAC646913FA2F6AF72DBE1</vt:lpwstr>
  </property>
  <property fmtid="{D5CDD505-2E9C-101B-9397-08002B2CF9AE}" pid="12" name="MediaServiceImageTags">
    <vt:lpwstr/>
  </property>
</Properties>
</file>